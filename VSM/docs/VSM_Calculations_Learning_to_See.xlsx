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lculations\VSM\"/>
    </mc:Choice>
  </mc:AlternateContent>
  <xr:revisionPtr revIDLastSave="0" documentId="13_ncr:1_{603C09DC-F486-4522-A4EF-F1E9BD3F7F21}" xr6:coauthVersionLast="47" xr6:coauthVersionMax="47" xr10:uidLastSave="{00000000-0000-0000-0000-000000000000}"/>
  <bookViews>
    <workbookView xWindow="-120" yWindow="-120" windowWidth="46320" windowHeight="25440" tabRatio="500" activeTab="2" xr2:uid="{00000000-000D-0000-FFFF-FFFF00000000}"/>
  </bookViews>
  <sheets>
    <sheet name="1. Takt Time" sheetId="1" r:id="rId1"/>
    <sheet name="2. Current State Data" sheetId="2" r:id="rId2"/>
    <sheet name="3. Inventory-to-Days" sheetId="3" r:id="rId3"/>
    <sheet name="4. Operators Needed" sheetId="4" r:id="rId4"/>
    <sheet name="5. Pitch" sheetId="5" r:id="rId5"/>
    <sheet name="6. EPE &amp; Batch Size" sheetId="6" r:id="rId6"/>
    <sheet name="7. Supermarket &amp; Kanban" sheetId="7" r:id="rId7"/>
    <sheet name="8. Lead Time Comparison" sheetId="8" r:id="rId8"/>
    <sheet name="9. TWI Industries" sheetId="9" r:id="rId9"/>
    <sheet name="10. All Formulas Summary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9" l="1"/>
  <c r="C31" i="9" s="1"/>
  <c r="C33" i="9" s="1"/>
  <c r="H22" i="8"/>
  <c r="H21" i="8"/>
  <c r="G8" i="8"/>
  <c r="C17" i="8" s="1"/>
  <c r="D17" i="8" s="1"/>
  <c r="G7" i="8"/>
  <c r="C16" i="8" s="1"/>
  <c r="D16" i="8" s="1"/>
  <c r="G6" i="8"/>
  <c r="C15" i="8" s="1"/>
  <c r="D15" i="8" s="1"/>
  <c r="C33" i="7"/>
  <c r="C24" i="7"/>
  <c r="C13" i="7"/>
  <c r="C12" i="7"/>
  <c r="C27" i="6"/>
  <c r="C26" i="6"/>
  <c r="C23" i="6"/>
  <c r="C22" i="6"/>
  <c r="C12" i="6"/>
  <c r="C14" i="6" s="1"/>
  <c r="C25" i="5"/>
  <c r="C20" i="5"/>
  <c r="C14" i="5"/>
  <c r="C15" i="5" s="1"/>
  <c r="C8" i="5"/>
  <c r="C9" i="5" s="1"/>
  <c r="C26" i="4"/>
  <c r="C27" i="4" s="1"/>
  <c r="C20" i="4"/>
  <c r="C12" i="4"/>
  <c r="C14" i="4" s="1"/>
  <c r="C15" i="4" s="1"/>
  <c r="G29" i="3"/>
  <c r="E28" i="3"/>
  <c r="E12" i="3"/>
  <c r="G12" i="3" s="1"/>
  <c r="E11" i="3"/>
  <c r="G11" i="3" s="1"/>
  <c r="E10" i="3"/>
  <c r="G10" i="3" s="1"/>
  <c r="E9" i="3"/>
  <c r="G9" i="3" s="1"/>
  <c r="G8" i="3"/>
  <c r="E8" i="3"/>
  <c r="G25" i="2"/>
  <c r="G24" i="2"/>
  <c r="G23" i="2"/>
  <c r="G22" i="2"/>
  <c r="G21" i="2"/>
  <c r="C16" i="2"/>
  <c r="C29" i="1"/>
  <c r="C31" i="1" s="1"/>
  <c r="C26" i="1"/>
  <c r="C18" i="1"/>
  <c r="C20" i="1" s="1"/>
  <c r="C15" i="1"/>
  <c r="C10" i="1"/>
  <c r="C21" i="4" l="1"/>
  <c r="C21" i="1"/>
  <c r="C32" i="1"/>
</calcChain>
</file>

<file path=xl/sharedStrings.xml><?xml version="1.0" encoding="utf-8"?>
<sst xmlns="http://schemas.openxmlformats.org/spreadsheetml/2006/main" count="650" uniqueCount="491">
  <si>
    <t>TAKT TIME CALCULATION</t>
  </si>
  <si>
    <t>Formula: Takt Time = Available Working Time per Shift ÷ Customer Demand per Shift</t>
  </si>
  <si>
    <t>Book Reference: "Learning to See" pp. 44, 58-59</t>
  </si>
  <si>
    <t>Parameter</t>
  </si>
  <si>
    <t>Value</t>
  </si>
  <si>
    <t>Unit</t>
  </si>
  <si>
    <t>Notes</t>
  </si>
  <si>
    <t>GENERIC EXAMPLE (p.44)</t>
  </si>
  <si>
    <t>A</t>
  </si>
  <si>
    <t>Available Working Time per Shift</t>
  </si>
  <si>
    <t>seconds</t>
  </si>
  <si>
    <t>Given in book example</t>
  </si>
  <si>
    <t>B</t>
  </si>
  <si>
    <t>Customer Demand Rate per Shift</t>
  </si>
  <si>
    <t>pieces/shift</t>
  </si>
  <si>
    <t>C</t>
  </si>
  <si>
    <t>TAKT TIME</t>
  </si>
  <si>
    <t>≈ 59 seconds (book states 59 sec)</t>
  </si>
  <si>
    <t>ACME STAMPING EXAMPLE (pp.58-59)</t>
  </si>
  <si>
    <t>D</t>
  </si>
  <si>
    <t>Total Shift Time</t>
  </si>
  <si>
    <t>8 hours × 3,600 sec/hr = 28,800</t>
  </si>
  <si>
    <t>E</t>
  </si>
  <si>
    <t>Break Time (2 × 10 min)</t>
  </si>
  <si>
    <t>2 breaks × 10 min × 60 sec/min</t>
  </si>
  <si>
    <t>F</t>
  </si>
  <si>
    <t>Available Working Time = D - E</t>
  </si>
  <si>
    <t>28,800 - 1,200 = 27,600</t>
  </si>
  <si>
    <t>G</t>
  </si>
  <si>
    <t>Monthly Customer Demand</t>
  </si>
  <si>
    <t>pcs/month</t>
  </si>
  <si>
    <t>12,000 LH + 6,400 RH</t>
  </si>
  <si>
    <t>H</t>
  </si>
  <si>
    <t>Working Days per Month</t>
  </si>
  <si>
    <t>days</t>
  </si>
  <si>
    <t>Given</t>
  </si>
  <si>
    <t>I</t>
  </si>
  <si>
    <t>Daily Customer Demand = G ÷ H</t>
  </si>
  <si>
    <t>pcs/day</t>
  </si>
  <si>
    <t>18,400 ÷ 20 = 920 pcs/day</t>
  </si>
  <si>
    <t>J</t>
  </si>
  <si>
    <t>Number of Shifts per Day</t>
  </si>
  <si>
    <t>shifts</t>
  </si>
  <si>
    <t>Given — two-shift operation</t>
  </si>
  <si>
    <t>K</t>
  </si>
  <si>
    <t>Customer Demand per Shift = I ÷ J</t>
  </si>
  <si>
    <t>pcs/shift</t>
  </si>
  <si>
    <t>920 ÷ 2 = 460 pcs/shift</t>
  </si>
  <si>
    <t>L</t>
  </si>
  <si>
    <t>ACME TAKT TIME = F ÷ K</t>
  </si>
  <si>
    <t>Result: 27,600 ÷ 460 = 60 sec</t>
  </si>
  <si>
    <t>TWI INDUSTRIES EXAMPLE (Appendix C — implied)</t>
  </si>
  <si>
    <t>M</t>
  </si>
  <si>
    <t>Shift Time (8 hours)</t>
  </si>
  <si>
    <t>8 hours × 3,600</t>
  </si>
  <si>
    <t>N</t>
  </si>
  <si>
    <t>Break Time (2 × 15 min)</t>
  </si>
  <si>
    <t>2 breaks × 15 min × 60</t>
  </si>
  <si>
    <t>O</t>
  </si>
  <si>
    <t>Available Working Time = M - N</t>
  </si>
  <si>
    <t>28,800 - 1,800 = 27,000</t>
  </si>
  <si>
    <t>P</t>
  </si>
  <si>
    <t>Monthly Demand</t>
  </si>
  <si>
    <t>Q</t>
  </si>
  <si>
    <t>R</t>
  </si>
  <si>
    <t>Daily Demand = P ÷ Q</t>
  </si>
  <si>
    <t>24,000 ÷ 20 = 1,200</t>
  </si>
  <si>
    <t>S</t>
  </si>
  <si>
    <t>Shifts per Day</t>
  </si>
  <si>
    <t>T</t>
  </si>
  <si>
    <t>Demand per Shift = R ÷ S</t>
  </si>
  <si>
    <t>1,200 ÷ 2 = 600</t>
  </si>
  <si>
    <t>U</t>
  </si>
  <si>
    <t>TWI TAKT TIME = O ÷ T</t>
  </si>
  <si>
    <t>Result: 27,000 ÷ 600 = 45 sec</t>
  </si>
  <si>
    <t>ACME STAMPING — CURRENT STATE PROCESS DATA</t>
  </si>
  <si>
    <t>All data from completed current-state map (pp.33-35, 41-42)</t>
  </si>
  <si>
    <t>Process</t>
  </si>
  <si>
    <t>C/T (sec)</t>
  </si>
  <si>
    <t>C/O</t>
  </si>
  <si>
    <t>Uptime %</t>
  </si>
  <si>
    <t>Operators</t>
  </si>
  <si>
    <t>Avail. Time</t>
  </si>
  <si>
    <t>EPE</t>
  </si>
  <si>
    <t>Shifts</t>
  </si>
  <si>
    <t>Dedicated?</t>
  </si>
  <si>
    <t>Stamping</t>
  </si>
  <si>
    <t>1 hour</t>
  </si>
  <si>
    <t>85%</t>
  </si>
  <si>
    <t>2 weeks</t>
  </si>
  <si>
    <t>2</t>
  </si>
  <si>
    <t>No (shared)</t>
  </si>
  <si>
    <t>200T press, auto coil feed</t>
  </si>
  <si>
    <t>Spot Weld #1</t>
  </si>
  <si>
    <t>10 min</t>
  </si>
  <si>
    <t>100%</t>
  </si>
  <si>
    <t>-</t>
  </si>
  <si>
    <t>Yes</t>
  </si>
  <si>
    <t>Manual process</t>
  </si>
  <si>
    <t>Spot Weld #2</t>
  </si>
  <si>
    <t>80%</t>
  </si>
  <si>
    <t>Assembly #1</t>
  </si>
  <si>
    <t>0</t>
  </si>
  <si>
    <t>Assembly #2</t>
  </si>
  <si>
    <t>Component</t>
  </si>
  <si>
    <t>Calculation</t>
  </si>
  <si>
    <t>Total shift time</t>
  </si>
  <si>
    <t>Total: 8 hrs × 3,600 sec/hr</t>
  </si>
  <si>
    <t>Less: 2 breaks × 10 min each</t>
  </si>
  <si>
    <t>Total: 2 × 10 × 60</t>
  </si>
  <si>
    <t>Available working time</t>
  </si>
  <si>
    <t>Result: 28,800 - 1,200</t>
  </si>
  <si>
    <t>Formula: Capacity = (Available Time ÷ Cycle Time) × Uptime %</t>
  </si>
  <si>
    <t>Uptime</t>
  </si>
  <si>
    <t>Capacity (pcs)</t>
  </si>
  <si>
    <t>Formula Used</t>
  </si>
  <si>
    <t>Calc: (27,600 / 1) × 85%</t>
  </si>
  <si>
    <t>Calc: (27,600 / 39) × 100%</t>
  </si>
  <si>
    <t>Calc: (27,600 / 46) × 80%</t>
  </si>
  <si>
    <t>Calc: (27,600 / 62) × 100%</t>
  </si>
  <si>
    <t>Calc: (27,600 / 40) × 100%</t>
  </si>
  <si>
    <t>INVENTORY-TO-DAYS CONVERSION (Current State Timeline)</t>
  </si>
  <si>
    <t>Formula: Days = Inventory Quantity ÷ Daily Customer Requirement (pp.32-35)</t>
  </si>
  <si>
    <t>Daily Requirement = 18,400 pcs/mo ÷ 20 days/mo = 920 pcs/day</t>
  </si>
  <si>
    <t>Inventory Location</t>
  </si>
  <si>
    <t>LH Qty</t>
  </si>
  <si>
    <t>RH Qty</t>
  </si>
  <si>
    <t>Total Qty</t>
  </si>
  <si>
    <t>Daily Demand</t>
  </si>
  <si>
    <t>Days</t>
  </si>
  <si>
    <t>Raw Material (Coils)</t>
  </si>
  <si>
    <t>N/A (coils)</t>
  </si>
  <si>
    <t>Observed: 5 days of coils</t>
  </si>
  <si>
    <t>After Stamping</t>
  </si>
  <si>
    <t>(4,600 + 2,400) / 920</t>
  </si>
  <si>
    <t>After Weld #1</t>
  </si>
  <si>
    <t>(1,100 + 600) / 920</t>
  </si>
  <si>
    <t>After Weld #2</t>
  </si>
  <si>
    <t>(1,600 + 850) / 920</t>
  </si>
  <si>
    <t>After Assembly #1</t>
  </si>
  <si>
    <t>(1,200 + 640) / 920</t>
  </si>
  <si>
    <t>Finished Goods (Shipping)</t>
  </si>
  <si>
    <t>(2,700 + 1,440) / 920</t>
  </si>
  <si>
    <t>PRODUCTION LEAD TIME CALCULATION (Timeline, p.35)</t>
  </si>
  <si>
    <t>Timeline Segment</t>
  </si>
  <si>
    <t>Wait (days)</t>
  </si>
  <si>
    <t>Process (sec)</t>
  </si>
  <si>
    <t>Raw Material Coils</t>
  </si>
  <si>
    <t>Inventory wait</t>
  </si>
  <si>
    <t>C/T = 1 sec</t>
  </si>
  <si>
    <t>Stamped Parts Inventory</t>
  </si>
  <si>
    <t>7,000 / 920</t>
  </si>
  <si>
    <t>Weld #1</t>
  </si>
  <si>
    <t>C/T = 39 sec</t>
  </si>
  <si>
    <t>Post-Weld #1 Inventory</t>
  </si>
  <si>
    <t>1,700 / 920</t>
  </si>
  <si>
    <t>Weld #2</t>
  </si>
  <si>
    <t>C/T = 46 sec</t>
  </si>
  <si>
    <t>Post-Weld #2 Inventory</t>
  </si>
  <si>
    <t>2,450 / 920 (see note)</t>
  </si>
  <si>
    <t>C/T = 62 sec</t>
  </si>
  <si>
    <t>Post-Assembly #1 Inventory</t>
  </si>
  <si>
    <t>1,840 / 920</t>
  </si>
  <si>
    <t>C/T = 40 sec</t>
  </si>
  <si>
    <t>Finished Goods</t>
  </si>
  <si>
    <t>4,140 / 920</t>
  </si>
  <si>
    <t>TOTAL PRODUCTION LEAD TIME</t>
  </si>
  <si>
    <t>TOTAL VALUE-ADDED (Processing) TIME</t>
  </si>
  <si>
    <t>VA Ratio = Processing Time ÷ Lead Time</t>
  </si>
  <si>
    <t>Extremely small ratio highlights waste</t>
  </si>
  <si>
    <t>NUMBER OF OPERATORS NEEDED IN CELL</t>
  </si>
  <si>
    <t>Formula: Operators = Total Work Content ÷ Takt Time (pp.63-64)</t>
  </si>
  <si>
    <t>ACME — WELD/ASSEMBLY CELL OPERATOR CALCULATION</t>
  </si>
  <si>
    <t>Process Step</t>
  </si>
  <si>
    <t>Cycle Time (sec)</t>
  </si>
  <si>
    <t>Current C/T</t>
  </si>
  <si>
    <t>Total Work Content (sum of C/Ts)</t>
  </si>
  <si>
    <t>Takt Time</t>
  </si>
  <si>
    <t>Operators Needed (raw) = Content ÷ Takt</t>
  </si>
  <si>
    <t>Operators Needed (rounded up)</t>
  </si>
  <si>
    <t>FUTURE STATE KAIZEN TARGET (p.64)</t>
  </si>
  <si>
    <t>Target: 3 operators</t>
  </si>
  <si>
    <t>Max work content per operator</t>
  </si>
  <si>
    <t>sec (&lt; takt)</t>
  </si>
  <si>
    <t>Target: each operator ≤ 56 sec</t>
  </si>
  <si>
    <t>Total work content target = 3 × 56</t>
  </si>
  <si>
    <t>seconds (≤ 168)</t>
  </si>
  <si>
    <t>Waste to eliminate = Current - Target</t>
  </si>
  <si>
    <t>187 - 168 = 19 seconds of waste to kaizen out</t>
  </si>
  <si>
    <t>TWI INDUSTRIES — ASSEMBLY OPERATORS (Appendix C)</t>
  </si>
  <si>
    <t>Assembly Total Work Time per Piece</t>
  </si>
  <si>
    <t>Operators needed (raw) = 195 ÷ 45</t>
  </si>
  <si>
    <t>PITCH CALCULATION</t>
  </si>
  <si>
    <t>Formula: Pitch = Takt Time × Pack-Out Quantity (p.51)</t>
  </si>
  <si>
    <t>GENERIC EXAMPLE (p.51)</t>
  </si>
  <si>
    <t>Pack Size</t>
  </si>
  <si>
    <t>pieces</t>
  </si>
  <si>
    <t>PITCH = Takt × Pack Size</t>
  </si>
  <si>
    <t>Pitch in minutes</t>
  </si>
  <si>
    <t>minutes</t>
  </si>
  <si>
    <t>ACME STAMPING EXAMPLE (p.76)</t>
  </si>
  <si>
    <t>Pack Size (Tray quantity)</t>
  </si>
  <si>
    <t>pieces/tray</t>
  </si>
  <si>
    <t>PITCH = 60 sec × 20 pieces</t>
  </si>
  <si>
    <t>Demand per shift</t>
  </si>
  <si>
    <t>Pieces per kanban (= tray)</t>
  </si>
  <si>
    <t>Kanban per shift = Demand ÷ Pack Size</t>
  </si>
  <si>
    <t>Available time per shift</t>
  </si>
  <si>
    <t>Pitch</t>
  </si>
  <si>
    <t>seconds (20 min)</t>
  </si>
  <si>
    <t>Columns in leveling box = Avail ÷ Pitch</t>
  </si>
  <si>
    <t>EPE (EVERY PART EVERY ___) &amp; BATCH SIZE</t>
  </si>
  <si>
    <t>Determines batch sizes at fabrication processes (pp.54, 67-68)</t>
  </si>
  <si>
    <t>CHANGEOVER TIME BUDGET METHOD (p.54)</t>
  </si>
  <si>
    <t>Formula: Time available for changeovers = Available Time - Time to run daily requirement</t>
  </si>
  <si>
    <t>Then: Number of changeovers = Time for C/O ÷ Changeover Time per setup</t>
  </si>
  <si>
    <t>Example from book (p.54):</t>
  </si>
  <si>
    <t>Available time per day</t>
  </si>
  <si>
    <t>hours</t>
  </si>
  <si>
    <t>Time to run daily requirement</t>
  </si>
  <si>
    <t>Time left for changeovers = Avail - Run</t>
  </si>
  <si>
    <t>Changeover time per setup</t>
  </si>
  <si>
    <t>hours (15 min)</t>
  </si>
  <si>
    <t>Number of changeovers per day</t>
  </si>
  <si>
    <t>Typical target: ~10% of available time for C/O</t>
  </si>
  <si>
    <t>ACME STAMPING BATCH SIZES — FUTURE STATE (pp.67-68, 77)</t>
  </si>
  <si>
    <t>Current state EPE</t>
  </si>
  <si>
    <t>Very long batches in current state</t>
  </si>
  <si>
    <t>Intermediate goal: EPE = 1 day</t>
  </si>
  <si>
    <t>Daily demand — LH brackets</t>
  </si>
  <si>
    <t>12,000/mo / 20 days</t>
  </si>
  <si>
    <t>Daily demand — RH brackets</t>
  </si>
  <si>
    <t>6,400/mo / 20 days</t>
  </si>
  <si>
    <t>Batch size LH (EPE = 1 day)</t>
  </si>
  <si>
    <t>Batch size RH (EPE = 1 day)</t>
  </si>
  <si>
    <t>Future state goal: EPE = 1 shift (p.77)</t>
  </si>
  <si>
    <t>Batch size LH per shift</t>
  </si>
  <si>
    <t>Batch size RH per shift</t>
  </si>
  <si>
    <t>Inventory reduction from EPE improvement:</t>
  </si>
  <si>
    <t>Supermarket with EPE = 1.5 days</t>
  </si>
  <si>
    <t>Intermediate: pull system but large batches</t>
  </si>
  <si>
    <t>Supermarket with EPE = 1 shift (leveled)</t>
  </si>
  <si>
    <t>day</t>
  </si>
  <si>
    <t>Future state: ≈85% reduction vs current (p.77)</t>
  </si>
  <si>
    <t>SUPERMARKET SIZING &amp; KANBAN QUANTITIES</t>
  </si>
  <si>
    <t>Pull system design from pp.66-69</t>
  </si>
  <si>
    <t>STAMPED PARTS SUPERMARKET (pp.67-68)</t>
  </si>
  <si>
    <t>Cell daily usage — LH</t>
  </si>
  <si>
    <t>Weld/assy cell consumes this</t>
  </si>
  <si>
    <t>Cell daily usage — RH</t>
  </si>
  <si>
    <t>Small bins for fingertip access</t>
  </si>
  <si>
    <t>Withdrawal kanban per container</t>
  </si>
  <si>
    <t>kanban</t>
  </si>
  <si>
    <t>One kanban per bin of 60</t>
  </si>
  <si>
    <t>Production kanban per container</t>
  </si>
  <si>
    <t>One kanban triggers 60-pc production</t>
  </si>
  <si>
    <t>Supermarket target stock</t>
  </si>
  <si>
    <t>½ day extra for replenishment delay</t>
  </si>
  <si>
    <t>Target LH in supermarket</t>
  </si>
  <si>
    <t>Calc: 600 × 1.5 days</t>
  </si>
  <si>
    <t>Target RH in supermarket</t>
  </si>
  <si>
    <t>Calc: 320 × 1.5 days</t>
  </si>
  <si>
    <t>SIGNAL KANBAN — STAMPING TRIGGER (p.68)</t>
  </si>
  <si>
    <t>Stamping produces a batch when supermarket drops to trigger point</t>
  </si>
  <si>
    <t>Stamping C/T = 1 sec, C/O = 1 hour (3,600 sec)</t>
  </si>
  <si>
    <t>Run time for 60 pcs = 60 × 1 sec</t>
  </si>
  <si>
    <t>Changeover time</t>
  </si>
  <si>
    <t>seconds (1 hr)</t>
  </si>
  <si>
    <t>C/O-to-run ratio for 60 pcs = 3600/60</t>
  </si>
  <si>
    <t>60:1 ratio → bin-for-bin NOT practical (p.68)</t>
  </si>
  <si>
    <t>FINISHED GOODS SUPERMARKET (pp.60, 80-81)</t>
  </si>
  <si>
    <t>Current state finished goods</t>
  </si>
  <si>
    <t>Future state (with leveling) target</t>
  </si>
  <si>
    <t>Reduced thanks to short lead time + leveling</t>
  </si>
  <si>
    <t>COIL SUPERMARKET (p.69)</t>
  </si>
  <si>
    <t>Current state coil inventory</t>
  </si>
  <si>
    <t>Weekly delivery (Tue &amp; Thu)</t>
  </si>
  <si>
    <t>Future state — daily milk run delivery</t>
  </si>
  <si>
    <t>Daily delivery eliminates 80% of coil inventory</t>
  </si>
  <si>
    <t>Reduction</t>
  </si>
  <si>
    <t>ACME STAMPING — LEAD TIME IMPROVEMENT COMPARISON</t>
  </si>
  <si>
    <t>Before vs. After comparison (pp.69-70, 80-81)</t>
  </si>
  <si>
    <t>State</t>
  </si>
  <si>
    <t>Coils
(days)</t>
  </si>
  <si>
    <t>Stamped
Parts (days)</t>
  </si>
  <si>
    <t>Weld/Assy
WIP (days)</t>
  </si>
  <si>
    <t>Finished
Goods (days)</t>
  </si>
  <si>
    <t>Production
Lead Time</t>
  </si>
  <si>
    <t>Inventory
Turns</t>
  </si>
  <si>
    <t>BEFORE (Current)</t>
  </si>
  <si>
    <t>Continuous Flow &amp; Pull</t>
  </si>
  <si>
    <t>With Leveling (Future)</t>
  </si>
  <si>
    <t>Formula: Turns ≈ Working Days per Year ÷ Production Lead Time (days)</t>
  </si>
  <si>
    <t>Working days per year (approx)</t>
  </si>
  <si>
    <t>Lead Time</t>
  </si>
  <si>
    <t>Calc Turns</t>
  </si>
  <si>
    <t>Before</t>
  </si>
  <si>
    <t>Flow &amp; Pull</t>
  </si>
  <si>
    <t>With Leveling</t>
  </si>
  <si>
    <t>VALUE-ADDED TIME COMPARISON</t>
  </si>
  <si>
    <t>VA Time (sec)</t>
  </si>
  <si>
    <t>VA Ratio</t>
  </si>
  <si>
    <t>Current State</t>
  </si>
  <si>
    <t>Future State</t>
  </si>
  <si>
    <t>Note: VA Ratio = VA seconds ÷ (Lead Time days × 86,400 sec/day)</t>
  </si>
  <si>
    <t>TWI INDUSTRIES — CALCULATIONS (Appendix B &amp; C)</t>
  </si>
  <si>
    <t>CURRENT STATE LEAD TIME (Appendix B)</t>
  </si>
  <si>
    <t>Segment</t>
  </si>
  <si>
    <t>Raw Rods</t>
  </si>
  <si>
    <t>20 days raw material</t>
  </si>
  <si>
    <t>Cut Rods inventory</t>
  </si>
  <si>
    <t>5 days cut rod</t>
  </si>
  <si>
    <t>Cutting</t>
  </si>
  <si>
    <t>C/T = 15 sec</t>
  </si>
  <si>
    <t>Post-Weld #1 inventory</t>
  </si>
  <si>
    <t>3 days</t>
  </si>
  <si>
    <t>Machine C/T = 30 sec</t>
  </si>
  <si>
    <t>Post-Weld #2 inventory</t>
  </si>
  <si>
    <t>Post-Deflash inventory</t>
  </si>
  <si>
    <t>5 days</t>
  </si>
  <si>
    <t>Deflash</t>
  </si>
  <si>
    <t>Paint (outside)</t>
  </si>
  <si>
    <t>2 days at painter</t>
  </si>
  <si>
    <t>Painted parts at TWI</t>
  </si>
  <si>
    <t>6 days</t>
  </si>
  <si>
    <t>Assembly</t>
  </si>
  <si>
    <t>Total work time = 195 sec</t>
  </si>
  <si>
    <t>Finished goods</t>
  </si>
  <si>
    <t>4 days FG</t>
  </si>
  <si>
    <t>Raw Forgings</t>
  </si>
  <si>
    <t>20 days</t>
  </si>
  <si>
    <t>Machined Forgings inv</t>
  </si>
  <si>
    <t>4 days</t>
  </si>
  <si>
    <t>Machining</t>
  </si>
  <si>
    <t>C/T = 30 sec</t>
  </si>
  <si>
    <t>TOTAL Lead Time (main flow)</t>
  </si>
  <si>
    <t>TOTAL VA Time</t>
  </si>
  <si>
    <t>FUTURE STATE KEY CALCULATIONS (Appendix C, pp.107-108)</t>
  </si>
  <si>
    <t>27,000 sec ÷ 600 pcs/shift</t>
  </si>
  <si>
    <t>Weld/Deflash C/T (continuous flow)</t>
  </si>
  <si>
    <t>Faster than takt for C/O time</t>
  </si>
  <si>
    <t>Run time at 39 sec for 600 pcs</t>
  </si>
  <si>
    <t>Calc: 39 × 600 pcs</t>
  </si>
  <si>
    <t>Time remaining per shift</t>
  </si>
  <si>
    <t>27,000 - 23,400 = 3,600 (1 hr)</t>
  </si>
  <si>
    <t>Changeover time (future target)</t>
  </si>
  <si>
    <t>5 min (reduced from 15-60 min)</t>
  </si>
  <si>
    <t>Changeovers per shift = Remaining ÷ C/O</t>
  </si>
  <si>
    <t>Calc: 3,600 / 300</t>
  </si>
  <si>
    <t>Assembly operators needed</t>
  </si>
  <si>
    <t>operators</t>
  </si>
  <si>
    <t>195 sec ÷ 45 sec takt ≈ 4.33 → 5</t>
  </si>
  <si>
    <t>Future Lead Time</t>
  </si>
  <si>
    <t>&lt;11</t>
  </si>
  <si>
    <t>Future VA Time</t>
  </si>
  <si>
    <t>Same value-added content</t>
  </si>
  <si>
    <t>COMPLETE FORMULA REFERENCE — Learning to See</t>
  </si>
  <si>
    <t>#</t>
  </si>
  <si>
    <t>Formula Name</t>
  </si>
  <si>
    <t>Formula</t>
  </si>
  <si>
    <t>Book Example</t>
  </si>
  <si>
    <t>Page Ref</t>
  </si>
  <si>
    <t>Available Working Time</t>
  </si>
  <si>
    <t>Total Shift Time − Break Time</t>
  </si>
  <si>
    <t>28,800 − 1,200 = 27,600 sec</t>
  </si>
  <si>
    <t>p.58-59</t>
  </si>
  <si>
    <t>Available Working Time / Customer Demand per Shift</t>
  </si>
  <si>
    <t>27,600 ÷ 460 = 60 sec</t>
  </si>
  <si>
    <t>pp.44, 58</t>
  </si>
  <si>
    <t>Daily Customer Demand</t>
  </si>
  <si>
    <t>Monthly Demand / Working Days per Month</t>
  </si>
  <si>
    <t>pp.58-59</t>
  </si>
  <si>
    <t>Demand per Shift</t>
  </si>
  <si>
    <t>Daily Demand / Shifts per Day</t>
  </si>
  <si>
    <t>Inventory in Days</t>
  </si>
  <si>
    <t>Inventory Quantity / Daily Customer Demand</t>
  </si>
  <si>
    <t>7,000 ÷ 920 = 7.6 days</t>
  </si>
  <si>
    <t>pp.32-33</t>
  </si>
  <si>
    <t>Production Lead Time</t>
  </si>
  <si>
    <t>Sum of all inventory wait days on timeline</t>
  </si>
  <si>
    <t>5+7.6+1.8+2.7+2+4.5 = 23.6 days</t>
  </si>
  <si>
    <t>p.35</t>
  </si>
  <si>
    <t>Total Processing (VA) Time</t>
  </si>
  <si>
    <t>Sum of all process cycle times</t>
  </si>
  <si>
    <t>1+39+46+62+40 = 188 sec</t>
  </si>
  <si>
    <t>Process Capacity (no C/O)</t>
  </si>
  <si>
    <t>(Available Time / Cycle Time) × Uptime</t>
  </si>
  <si>
    <t>(27,600÷1)×85% = 23,460 pcs</t>
  </si>
  <si>
    <t>p.22</t>
  </si>
  <si>
    <t>Operators Needed</t>
  </si>
  <si>
    <t>Total Work Content / Takt Time</t>
  </si>
  <si>
    <t>187 ÷ 60 = 3.12 → 4 (or 3 w/ kaizen)</t>
  </si>
  <si>
    <t>pp.63-64</t>
  </si>
  <si>
    <t>Max Work Content per Operator</t>
  </si>
  <si>
    <t>Takt Time − Buffer (e.g. 56 sec &lt; 60)</t>
  </si>
  <si>
    <t>3 ops × 56 sec = 168 sec target</t>
  </si>
  <si>
    <t>p.64</t>
  </si>
  <si>
    <t>Takt Time × Pack-Out Quantity</t>
  </si>
  <si>
    <t>60 sec × 20 pcs = 1,200 sec = 20 min</t>
  </si>
  <si>
    <t>p.51</t>
  </si>
  <si>
    <t>Kanban per Shift</t>
  </si>
  <si>
    <t>Demand per Shift / Container Quantity</t>
  </si>
  <si>
    <t>460 ÷ 20 = 23 kanban/shift</t>
  </si>
  <si>
    <t>p.76</t>
  </si>
  <si>
    <t>Columns in Leveling Box</t>
  </si>
  <si>
    <t>Available Time per Shift / Pitch</t>
  </si>
  <si>
    <t>27,600 ÷ 1,200 = 23 columns</t>
  </si>
  <si>
    <t>Time Left for Changeovers</t>
  </si>
  <si>
    <t>Available Time − Time to Run Daily Demand</t>
  </si>
  <si>
    <t>16 hrs − 14.5 hrs = 1.5 hrs</t>
  </si>
  <si>
    <t>p.54</t>
  </si>
  <si>
    <t>Max Changeovers per Day</t>
  </si>
  <si>
    <t>Time Left for C/O / Changeover Duration</t>
  </si>
  <si>
    <t>1.5 hrs ÷ 0.25 hrs = 6 C/Os</t>
  </si>
  <si>
    <t>Batch Size (EPE = 1 day)</t>
  </si>
  <si>
    <t>Changeover Time / (Batch Size x Cycle Time)</t>
  </si>
  <si>
    <t>LH: 600 pcs, RH: 320 pcs</t>
  </si>
  <si>
    <t>pp.67-68</t>
  </si>
  <si>
    <t>Batch Size (EPE = 1 shift)</t>
  </si>
  <si>
    <t>LH: 300 pcs, RH: 160 pcs</t>
  </si>
  <si>
    <t>p.77</t>
  </si>
  <si>
    <t>Inventory Turns</t>
  </si>
  <si>
    <t>≈ Working Days per Year ÷ Production Lead Time</t>
  </si>
  <si>
    <t>240 ÷ 23.6 ≈ 10 turns</t>
  </si>
  <si>
    <t>pp.69,81</t>
  </si>
  <si>
    <t>C/O-to-Run Ratio</t>
  </si>
  <si>
    <t>Working Days per Year / Production Lead Time</t>
  </si>
  <si>
    <t>3,600 ÷ 60 = 60:1 (impractical)</t>
  </si>
  <si>
    <t>p.68</t>
  </si>
  <si>
    <t>Daily Delivery Inventory Reduction</t>
  </si>
  <si>
    <t>Changeover Time / (Batch Size × Cycle Time)</t>
  </si>
  <si>
    <t>Weekly→Daily = ~80% reduction</t>
  </si>
  <si>
    <t>p.69</t>
  </si>
  <si>
    <t>Weld/Deflash Changeovers/Shift (TWI)</t>
  </si>
  <si>
    <t>1 − (New Delivery Freq / Old)</t>
  </si>
  <si>
    <t>3,600 sec ÷ 300 sec = 12</t>
  </si>
  <si>
    <t>p.108</t>
  </si>
  <si>
    <t>Mix Leveling Pattern</t>
  </si>
  <si>
    <t>Target Work Content / Number of Operators</t>
  </si>
  <si>
    <t>RLLRLLRLL... (2:1 ratio of L to R)</t>
  </si>
  <si>
    <t>pp.73-74</t>
  </si>
  <si>
    <t>Supermarket Size</t>
  </si>
  <si>
    <t>Alternate LH:RH in ratio of demand</t>
  </si>
  <si>
    <t>1.5 days × demand (incl. buffer)</t>
  </si>
  <si>
    <t>Cell Cycle Time (Future)</t>
  </si>
  <si>
    <t>EPE interval × Daily Demand + Safety</t>
  </si>
  <si>
    <t>168 ÷ 3 = 56 sec/operator</t>
  </si>
  <si>
    <t>VA %</t>
  </si>
  <si>
    <t>Processing Time / (Lead Time × 86,400)</t>
  </si>
  <si>
    <t>188 / (23.6×86,400) ~ 0.009%</t>
  </si>
  <si>
    <t>NVA %</t>
  </si>
  <si>
    <t>1 - VA%</t>
  </si>
  <si>
    <t>~99.99% is non-value-added</t>
  </si>
  <si>
    <t>Lead Time Reduction %</t>
  </si>
  <si>
    <t>(Current LT - Future LT) / Current LT</t>
  </si>
  <si>
    <t>(23.6-4.5)/23.6 = 81%</t>
  </si>
  <si>
    <t>pp.80-81</t>
  </si>
  <si>
    <t>Current Batch Size</t>
  </si>
  <si>
    <t>EPE interval × Daily Demand</t>
  </si>
  <si>
    <t>10 days × 600 = 6,000 LH</t>
  </si>
  <si>
    <t>pp.22, 77</t>
  </si>
  <si>
    <t>Mix Leveling Ratio</t>
  </si>
  <si>
    <t>LH trays / RH trays per day</t>
  </si>
  <si>
    <t>30/16 = 1.875:1 → RLLRLL...</t>
  </si>
  <si>
    <t>Container as Time</t>
  </si>
  <si>
    <t>Container Qty × Takt Time</t>
  </si>
  <si>
    <t>60 pcs × 60 sec = 60 min</t>
  </si>
  <si>
    <t>p.67</t>
  </si>
  <si>
    <t>Gross Demand (with scrap)</t>
  </si>
  <si>
    <t>Net Demand / (1 - Scrap Rate)</t>
  </si>
  <si>
    <t>460 / (1-2%) = 469.4 pcs</t>
  </si>
  <si>
    <t>p.59, p.108</t>
  </si>
  <si>
    <t>C/O Budget (10% rule)</t>
  </si>
  <si>
    <t>Available Time × 10%</t>
  </si>
  <si>
    <t>55,200 × 10% = 5,520 sec</t>
  </si>
  <si>
    <t>C/O-to-Run % (feasibility)</t>
  </si>
  <si>
    <t>C/O Time / (C/O + Run Time)</t>
  </si>
  <si>
    <t>3600/(3600+60) = 98.4%</t>
  </si>
  <si>
    <t>Inventory Turns Improvement</t>
  </si>
  <si>
    <t>(New Turns - Old Turns) / Old Turns</t>
  </si>
  <si>
    <t>(53-10)/10 = 430%</t>
  </si>
  <si>
    <t>p.81</t>
  </si>
  <si>
    <t>Current Process Capacity (p.22 — no changeovers)</t>
  </si>
  <si>
    <t>195 / 45 = 4.33 -&gt; 5 operators</t>
  </si>
  <si>
    <t xml:space="preserve"> NUMBER OF KANBAN PER SHIFT (p.73)</t>
  </si>
  <si>
    <t xml:space="preserve"> LOAD LEVELING BOX COLUMNS (p.76)</t>
  </si>
  <si>
    <t xml:space="preserve"> STAMPING C/O CONSTRAINT (p.68)</t>
  </si>
  <si>
    <t xml:space="preserve"> INVENTORY TURNS CALCULATION</t>
  </si>
  <si>
    <t>LT = 43 days (longest path)</t>
  </si>
  <si>
    <t>VA = 315 sec (includes machining path)</t>
  </si>
  <si>
    <r>
      <t xml:space="preserve">KAIZEN ACADEMY™
</t>
    </r>
    <r>
      <rPr>
        <sz val="20"/>
        <color theme="1"/>
        <rFont val="Calibri"/>
        <family val="2"/>
      </rPr>
      <t>www.kaizenacademy.education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</si>
</sst>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%"/>
  </numFmts>
  <fonts count="1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333333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charset val="1"/>
    </font>
    <font>
      <i/>
      <sz val="10"/>
      <name val="Arial"/>
      <charset val="1"/>
    </font>
    <font>
      <i/>
      <sz val="10"/>
      <color rgb="FF0000FF"/>
      <name val="Arial"/>
      <charset val="1"/>
    </font>
    <font>
      <i/>
      <sz val="10"/>
      <color rgb="FFC00000"/>
      <name val="Arial"/>
      <charset val="1"/>
    </font>
    <font>
      <b/>
      <sz val="10"/>
      <name val="Arial"/>
      <charset val="1"/>
    </font>
    <font>
      <sz val="10"/>
      <color rgb="FF1F4E79"/>
      <name val="Arial"/>
      <charset val="1"/>
    </font>
    <font>
      <b/>
      <sz val="20"/>
      <color theme="1"/>
      <name val="Calibri"/>
      <family val="2"/>
    </font>
    <font>
      <b/>
      <sz val="20"/>
      <color indexed="55"/>
      <name val="Calibri"/>
      <family val="2"/>
    </font>
    <font>
      <sz val="2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8" fillId="4" borderId="1" xfId="0" applyNumberFormat="1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0" fillId="0" borderId="0" xfId="0" applyFont="1"/>
    <xf numFmtId="9" fontId="6" fillId="0" borderId="1" xfId="0" applyNumberFormat="1" applyFont="1" applyBorder="1" applyAlignment="1">
      <alignment vertical="center" wrapText="1"/>
    </xf>
    <xf numFmtId="3" fontId="8" fillId="4" borderId="1" xfId="0" applyNumberFormat="1" applyFont="1" applyFill="1" applyBorder="1" applyAlignment="1">
      <alignment vertical="center" wrapText="1"/>
    </xf>
    <xf numFmtId="0" fontId="11" fillId="0" borderId="0" xfId="0" applyFont="1"/>
    <xf numFmtId="0" fontId="8" fillId="0" borderId="0" xfId="0" applyFont="1"/>
    <xf numFmtId="164" fontId="8" fillId="4" borderId="1" xfId="0" applyNumberFormat="1" applyFont="1" applyFill="1" applyBorder="1"/>
    <xf numFmtId="0" fontId="0" fillId="0" borderId="1" xfId="0" applyBorder="1"/>
    <xf numFmtId="0" fontId="12" fillId="0" borderId="0" xfId="0" applyFont="1"/>
    <xf numFmtId="0" fontId="8" fillId="4" borderId="1" xfId="0" applyFont="1" applyFill="1" applyBorder="1"/>
    <xf numFmtId="0" fontId="5" fillId="0" borderId="0" xfId="0" applyFont="1"/>
    <xf numFmtId="0" fontId="9" fillId="0" borderId="0" xfId="0" applyFont="1"/>
    <xf numFmtId="0" fontId="7" fillId="0" borderId="1" xfId="0" applyFont="1" applyBorder="1"/>
    <xf numFmtId="2" fontId="8" fillId="4" borderId="1" xfId="0" applyNumberFormat="1" applyFont="1" applyFill="1" applyBorder="1"/>
    <xf numFmtId="0" fontId="6" fillId="0" borderId="0" xfId="0" applyFont="1"/>
    <xf numFmtId="1" fontId="8" fillId="4" borderId="1" xfId="0" applyNumberFormat="1" applyFont="1" applyFill="1" applyBorder="1"/>
    <xf numFmtId="9" fontId="8" fillId="4" borderId="1" xfId="0" applyNumberFormat="1" applyFont="1" applyFill="1" applyBorder="1"/>
    <xf numFmtId="0" fontId="6" fillId="0" borderId="1" xfId="0" applyFont="1" applyBorder="1"/>
    <xf numFmtId="164" fontId="9" fillId="4" borderId="1" xfId="0" applyNumberFormat="1" applyFont="1" applyFill="1" applyBorder="1"/>
    <xf numFmtId="165" fontId="8" fillId="4" borderId="1" xfId="0" applyNumberFormat="1" applyFont="1" applyFill="1" applyBorder="1" applyAlignment="1">
      <alignment vertical="center" wrapText="1"/>
    </xf>
    <xf numFmtId="1" fontId="9" fillId="4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5" borderId="0" xfId="0" applyFill="1"/>
    <xf numFmtId="0" fontId="13" fillId="5" borderId="1" xfId="0" applyFont="1" applyFill="1" applyBorder="1"/>
    <xf numFmtId="0" fontId="6" fillId="5" borderId="1" xfId="0" applyFont="1" applyFill="1" applyBorder="1"/>
    <xf numFmtId="0" fontId="14" fillId="5" borderId="1" xfId="0" applyFont="1" applyFill="1" applyBorder="1"/>
    <xf numFmtId="0" fontId="13" fillId="0" borderId="1" xfId="0" applyFont="1" applyBorder="1"/>
    <xf numFmtId="0" fontId="14" fillId="0" borderId="1" xfId="0" applyFont="1" applyBorder="1"/>
    <xf numFmtId="2" fontId="0" fillId="0" borderId="1" xfId="0" applyNumberFormat="1" applyBorder="1"/>
    <xf numFmtId="0" fontId="5" fillId="3" borderId="0" xfId="0" applyFont="1" applyFill="1"/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66"/>
      <rgbColor rgb="FF70AD47"/>
      <rgbColor rgb="FF002060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32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5" customWidth="1"/>
    <col min="2" max="2" width="40" customWidth="1"/>
    <col min="3" max="4" width="18" customWidth="1"/>
    <col min="5" max="5" width="35" customWidth="1"/>
  </cols>
  <sheetData>
    <row r="1" spans="1:6" ht="75" customHeight="1" x14ac:dyDescent="0.25">
      <c r="B1" s="43" t="s">
        <v>490</v>
      </c>
      <c r="C1" s="43"/>
      <c r="D1" s="43"/>
      <c r="E1" s="43"/>
      <c r="F1" s="43"/>
    </row>
    <row r="2" spans="1:6" ht="17.25" customHeight="1" x14ac:dyDescent="0.25">
      <c r="B2" s="1" t="s">
        <v>0</v>
      </c>
    </row>
    <row r="3" spans="1:6" ht="15" customHeight="1" x14ac:dyDescent="0.25">
      <c r="B3" s="2" t="s">
        <v>1</v>
      </c>
    </row>
    <row r="4" spans="1:6" ht="15" customHeight="1" x14ac:dyDescent="0.25">
      <c r="B4" s="3" t="s">
        <v>2</v>
      </c>
    </row>
    <row r="6" spans="1:6" ht="15" customHeight="1" x14ac:dyDescent="0.25">
      <c r="A6" s="4"/>
      <c r="B6" s="4" t="s">
        <v>3</v>
      </c>
      <c r="C6" s="4" t="s">
        <v>4</v>
      </c>
      <c r="D6" s="4" t="s">
        <v>5</v>
      </c>
      <c r="E6" s="4" t="s">
        <v>6</v>
      </c>
    </row>
    <row r="7" spans="1:6" ht="15" customHeight="1" x14ac:dyDescent="0.25">
      <c r="B7" s="42" t="s">
        <v>7</v>
      </c>
      <c r="C7" s="42"/>
      <c r="D7" s="42"/>
      <c r="E7" s="42"/>
    </row>
    <row r="8" spans="1:6" ht="15" customHeight="1" x14ac:dyDescent="0.25">
      <c r="A8" s="5" t="s">
        <v>8</v>
      </c>
      <c r="B8" s="5" t="s">
        <v>9</v>
      </c>
      <c r="C8" s="6">
        <v>27000</v>
      </c>
      <c r="D8" s="5" t="s">
        <v>10</v>
      </c>
      <c r="E8" s="5" t="s">
        <v>11</v>
      </c>
    </row>
    <row r="9" spans="1:6" ht="15" customHeight="1" x14ac:dyDescent="0.25">
      <c r="A9" s="5" t="s">
        <v>12</v>
      </c>
      <c r="B9" s="5" t="s">
        <v>13</v>
      </c>
      <c r="C9" s="6">
        <v>455</v>
      </c>
      <c r="D9" s="5" t="s">
        <v>14</v>
      </c>
      <c r="E9" s="5" t="s">
        <v>11</v>
      </c>
    </row>
    <row r="10" spans="1:6" ht="15" customHeight="1" x14ac:dyDescent="0.25">
      <c r="A10" s="5" t="s">
        <v>15</v>
      </c>
      <c r="B10" s="5" t="s">
        <v>16</v>
      </c>
      <c r="C10" s="7">
        <f>C8/C9</f>
        <v>59.340659340659343</v>
      </c>
      <c r="D10" s="5" t="s">
        <v>10</v>
      </c>
      <c r="E10" s="5" t="s">
        <v>17</v>
      </c>
    </row>
    <row r="12" spans="1:6" ht="15" customHeight="1" x14ac:dyDescent="0.25">
      <c r="B12" s="42" t="s">
        <v>18</v>
      </c>
      <c r="C12" s="42"/>
      <c r="D12" s="42"/>
      <c r="E12" s="42"/>
    </row>
    <row r="13" spans="1:6" ht="15" customHeight="1" x14ac:dyDescent="0.25">
      <c r="A13" s="5" t="s">
        <v>19</v>
      </c>
      <c r="B13" s="5" t="s">
        <v>20</v>
      </c>
      <c r="C13" s="6">
        <v>28800</v>
      </c>
      <c r="D13" s="5" t="s">
        <v>10</v>
      </c>
      <c r="E13" s="5" t="s">
        <v>21</v>
      </c>
    </row>
    <row r="14" spans="1:6" ht="15" customHeight="1" x14ac:dyDescent="0.25">
      <c r="A14" s="5" t="s">
        <v>22</v>
      </c>
      <c r="B14" s="5" t="s">
        <v>23</v>
      </c>
      <c r="C14" s="6">
        <v>1200</v>
      </c>
      <c r="D14" s="5" t="s">
        <v>10</v>
      </c>
      <c r="E14" s="5" t="s">
        <v>24</v>
      </c>
    </row>
    <row r="15" spans="1:6" ht="15" customHeight="1" x14ac:dyDescent="0.25">
      <c r="A15" s="5" t="s">
        <v>25</v>
      </c>
      <c r="B15" s="5" t="s">
        <v>26</v>
      </c>
      <c r="C15" s="8">
        <f>C13-C14</f>
        <v>27600</v>
      </c>
      <c r="D15" s="5" t="s">
        <v>10</v>
      </c>
      <c r="E15" s="5" t="s">
        <v>27</v>
      </c>
    </row>
    <row r="16" spans="1:6" ht="15" customHeight="1" x14ac:dyDescent="0.25">
      <c r="A16" s="5" t="s">
        <v>28</v>
      </c>
      <c r="B16" s="5" t="s">
        <v>29</v>
      </c>
      <c r="C16" s="6">
        <v>18400</v>
      </c>
      <c r="D16" s="5" t="s">
        <v>30</v>
      </c>
      <c r="E16" s="5" t="s">
        <v>31</v>
      </c>
    </row>
    <row r="17" spans="1:5" ht="15" customHeight="1" x14ac:dyDescent="0.25">
      <c r="A17" s="5" t="s">
        <v>32</v>
      </c>
      <c r="B17" s="5" t="s">
        <v>33</v>
      </c>
      <c r="C17" s="6">
        <v>20</v>
      </c>
      <c r="D17" s="5" t="s">
        <v>34</v>
      </c>
      <c r="E17" s="5" t="s">
        <v>35</v>
      </c>
    </row>
    <row r="18" spans="1:5" ht="15" customHeight="1" x14ac:dyDescent="0.25">
      <c r="A18" s="5" t="s">
        <v>36</v>
      </c>
      <c r="B18" s="5" t="s">
        <v>37</v>
      </c>
      <c r="C18" s="8">
        <f>C16/C17</f>
        <v>920</v>
      </c>
      <c r="D18" s="5" t="s">
        <v>38</v>
      </c>
      <c r="E18" s="5" t="s">
        <v>39</v>
      </c>
    </row>
    <row r="19" spans="1:5" ht="15" customHeight="1" x14ac:dyDescent="0.25">
      <c r="A19" s="5" t="s">
        <v>40</v>
      </c>
      <c r="B19" s="5" t="s">
        <v>41</v>
      </c>
      <c r="C19" s="6">
        <v>2</v>
      </c>
      <c r="D19" s="5" t="s">
        <v>42</v>
      </c>
      <c r="E19" s="5" t="s">
        <v>43</v>
      </c>
    </row>
    <row r="20" spans="1:5" ht="15" customHeight="1" x14ac:dyDescent="0.25">
      <c r="A20" s="5" t="s">
        <v>44</v>
      </c>
      <c r="B20" s="5" t="s">
        <v>45</v>
      </c>
      <c r="C20" s="8">
        <f>C18/C19</f>
        <v>460</v>
      </c>
      <c r="D20" s="5" t="s">
        <v>46</v>
      </c>
      <c r="E20" s="5" t="s">
        <v>47</v>
      </c>
    </row>
    <row r="21" spans="1:5" ht="15" customHeight="1" x14ac:dyDescent="0.25">
      <c r="A21" s="5" t="s">
        <v>48</v>
      </c>
      <c r="B21" s="5" t="s">
        <v>49</v>
      </c>
      <c r="C21" s="7">
        <f>C15/C20</f>
        <v>60</v>
      </c>
      <c r="D21" s="5" t="s">
        <v>10</v>
      </c>
      <c r="E21" s="5" t="s">
        <v>50</v>
      </c>
    </row>
    <row r="23" spans="1:5" ht="15" customHeight="1" x14ac:dyDescent="0.25">
      <c r="B23" s="42" t="s">
        <v>51</v>
      </c>
      <c r="C23" s="42"/>
      <c r="D23" s="42"/>
      <c r="E23" s="42"/>
    </row>
    <row r="24" spans="1:5" ht="15" customHeight="1" x14ac:dyDescent="0.25">
      <c r="A24" s="5" t="s">
        <v>52</v>
      </c>
      <c r="B24" s="5" t="s">
        <v>53</v>
      </c>
      <c r="C24" s="6">
        <v>28800</v>
      </c>
      <c r="D24" s="5" t="s">
        <v>10</v>
      </c>
      <c r="E24" s="5" t="s">
        <v>54</v>
      </c>
    </row>
    <row r="25" spans="1:5" ht="15" customHeight="1" x14ac:dyDescent="0.25">
      <c r="A25" s="5" t="s">
        <v>55</v>
      </c>
      <c r="B25" s="5" t="s">
        <v>56</v>
      </c>
      <c r="C25" s="6">
        <v>1800</v>
      </c>
      <c r="D25" s="5" t="s">
        <v>10</v>
      </c>
      <c r="E25" s="5" t="s">
        <v>57</v>
      </c>
    </row>
    <row r="26" spans="1:5" ht="15" customHeight="1" x14ac:dyDescent="0.25">
      <c r="A26" s="5" t="s">
        <v>58</v>
      </c>
      <c r="B26" s="5" t="s">
        <v>59</v>
      </c>
      <c r="C26" s="8">
        <f>C24-C25</f>
        <v>27000</v>
      </c>
      <c r="D26" s="5" t="s">
        <v>10</v>
      </c>
      <c r="E26" s="5" t="s">
        <v>60</v>
      </c>
    </row>
    <row r="27" spans="1:5" ht="15" customHeight="1" x14ac:dyDescent="0.25">
      <c r="A27" s="5" t="s">
        <v>61</v>
      </c>
      <c r="B27" s="5" t="s">
        <v>62</v>
      </c>
      <c r="C27" s="6">
        <v>24000</v>
      </c>
      <c r="D27" s="5" t="s">
        <v>30</v>
      </c>
      <c r="E27" s="5" t="s">
        <v>35</v>
      </c>
    </row>
    <row r="28" spans="1:5" ht="15" customHeight="1" x14ac:dyDescent="0.25">
      <c r="A28" s="5" t="s">
        <v>63</v>
      </c>
      <c r="B28" s="5" t="s">
        <v>33</v>
      </c>
      <c r="C28" s="6">
        <v>20</v>
      </c>
      <c r="D28" s="5" t="s">
        <v>34</v>
      </c>
      <c r="E28" s="5" t="s">
        <v>35</v>
      </c>
    </row>
    <row r="29" spans="1:5" ht="15" customHeight="1" x14ac:dyDescent="0.25">
      <c r="A29" s="5" t="s">
        <v>64</v>
      </c>
      <c r="B29" s="5" t="s">
        <v>65</v>
      </c>
      <c r="C29" s="8">
        <f>C27/C28</f>
        <v>1200</v>
      </c>
      <c r="D29" s="5" t="s">
        <v>38</v>
      </c>
      <c r="E29" s="5" t="s">
        <v>66</v>
      </c>
    </row>
    <row r="30" spans="1:5" ht="15" customHeight="1" x14ac:dyDescent="0.25">
      <c r="A30" s="5" t="s">
        <v>67</v>
      </c>
      <c r="B30" s="5" t="s">
        <v>68</v>
      </c>
      <c r="C30" s="6">
        <v>2</v>
      </c>
      <c r="D30" s="5" t="s">
        <v>42</v>
      </c>
      <c r="E30" s="5" t="s">
        <v>35</v>
      </c>
    </row>
    <row r="31" spans="1:5" ht="15" customHeight="1" x14ac:dyDescent="0.25">
      <c r="A31" s="5" t="s">
        <v>69</v>
      </c>
      <c r="B31" s="5" t="s">
        <v>70</v>
      </c>
      <c r="C31" s="8">
        <f>C29/C30</f>
        <v>600</v>
      </c>
      <c r="D31" s="5" t="s">
        <v>46</v>
      </c>
      <c r="E31" s="5" t="s">
        <v>71</v>
      </c>
    </row>
    <row r="32" spans="1:5" ht="15" customHeight="1" x14ac:dyDescent="0.25">
      <c r="A32" s="5" t="s">
        <v>72</v>
      </c>
      <c r="B32" s="5" t="s">
        <v>73</v>
      </c>
      <c r="C32" s="7">
        <f>C26/C31</f>
        <v>45</v>
      </c>
      <c r="D32" s="5" t="s">
        <v>10</v>
      </c>
      <c r="E32" s="5" t="s">
        <v>74</v>
      </c>
    </row>
  </sheetData>
  <mergeCells count="4">
    <mergeCell ref="B7:E7"/>
    <mergeCell ref="B12:E12"/>
    <mergeCell ref="B23:E23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K25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22" customWidth="1"/>
    <col min="3" max="4" width="14" customWidth="1"/>
    <col min="5" max="7" width="12" customWidth="1"/>
    <col min="8" max="8" width="14" customWidth="1"/>
    <col min="9" max="10" width="16" customWidth="1"/>
    <col min="11" max="11" width="22" customWidth="1"/>
  </cols>
  <sheetData>
    <row r="1" spans="1:11" ht="75" customHeight="1" x14ac:dyDescent="0.25">
      <c r="B1" s="43" t="s">
        <v>490</v>
      </c>
      <c r="C1" s="44"/>
      <c r="D1" s="44"/>
      <c r="E1" s="44"/>
      <c r="F1" s="44"/>
    </row>
    <row r="2" spans="1:11" ht="17.25" customHeight="1" x14ac:dyDescent="0.25">
      <c r="B2" s="1" t="s">
        <v>75</v>
      </c>
    </row>
    <row r="3" spans="1:11" ht="15" customHeight="1" x14ac:dyDescent="0.25">
      <c r="B3" s="3" t="s">
        <v>76</v>
      </c>
    </row>
    <row r="5" spans="1:11" ht="15" customHeight="1" x14ac:dyDescent="0.25">
      <c r="A5" s="4"/>
      <c r="B5" s="4" t="s">
        <v>77</v>
      </c>
      <c r="C5" s="4" t="s">
        <v>78</v>
      </c>
      <c r="D5" s="4" t="s">
        <v>79</v>
      </c>
      <c r="E5" s="4" t="s">
        <v>80</v>
      </c>
      <c r="F5" s="4" t="s">
        <v>81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6</v>
      </c>
    </row>
    <row r="6" spans="1:11" ht="15" customHeight="1" x14ac:dyDescent="0.25">
      <c r="A6" s="5"/>
      <c r="B6" s="5" t="s">
        <v>86</v>
      </c>
      <c r="C6" s="6">
        <v>1</v>
      </c>
      <c r="D6" s="5" t="s">
        <v>87</v>
      </c>
      <c r="E6" s="5" t="s">
        <v>88</v>
      </c>
      <c r="F6" s="5">
        <v>1</v>
      </c>
      <c r="G6" s="5">
        <v>27600</v>
      </c>
      <c r="H6" s="5" t="s">
        <v>89</v>
      </c>
      <c r="I6" s="5" t="s">
        <v>90</v>
      </c>
      <c r="J6" s="5" t="s">
        <v>91</v>
      </c>
      <c r="K6" s="5" t="s">
        <v>92</v>
      </c>
    </row>
    <row r="7" spans="1:11" ht="15" customHeight="1" x14ac:dyDescent="0.25">
      <c r="A7" s="5"/>
      <c r="B7" s="5" t="s">
        <v>93</v>
      </c>
      <c r="C7" s="6">
        <v>39</v>
      </c>
      <c r="D7" s="5" t="s">
        <v>94</v>
      </c>
      <c r="E7" s="5" t="s">
        <v>95</v>
      </c>
      <c r="F7" s="5">
        <v>1</v>
      </c>
      <c r="G7" s="5">
        <v>27600</v>
      </c>
      <c r="H7" s="5" t="s">
        <v>96</v>
      </c>
      <c r="I7" s="5" t="s">
        <v>90</v>
      </c>
      <c r="J7" s="5" t="s">
        <v>97</v>
      </c>
      <c r="K7" s="5" t="s">
        <v>98</v>
      </c>
    </row>
    <row r="8" spans="1:11" ht="15" customHeight="1" x14ac:dyDescent="0.25">
      <c r="A8" s="5"/>
      <c r="B8" s="5" t="s">
        <v>99</v>
      </c>
      <c r="C8" s="6">
        <v>46</v>
      </c>
      <c r="D8" s="5" t="s">
        <v>94</v>
      </c>
      <c r="E8" s="5" t="s">
        <v>100</v>
      </c>
      <c r="F8" s="5">
        <v>1</v>
      </c>
      <c r="G8" s="5">
        <v>27600</v>
      </c>
      <c r="H8" s="5" t="s">
        <v>96</v>
      </c>
      <c r="I8" s="5" t="s">
        <v>90</v>
      </c>
      <c r="J8" s="5" t="s">
        <v>97</v>
      </c>
      <c r="K8" s="5" t="s">
        <v>98</v>
      </c>
    </row>
    <row r="9" spans="1:11" ht="15" customHeight="1" x14ac:dyDescent="0.25">
      <c r="A9" s="5"/>
      <c r="B9" s="5" t="s">
        <v>101</v>
      </c>
      <c r="C9" s="6">
        <v>62</v>
      </c>
      <c r="D9" s="5" t="s">
        <v>102</v>
      </c>
      <c r="E9" s="5" t="s">
        <v>95</v>
      </c>
      <c r="F9" s="5">
        <v>1</v>
      </c>
      <c r="G9" s="5">
        <v>27600</v>
      </c>
      <c r="H9" s="5" t="s">
        <v>96</v>
      </c>
      <c r="I9" s="5" t="s">
        <v>90</v>
      </c>
      <c r="J9" s="5" t="s">
        <v>97</v>
      </c>
      <c r="K9" s="5" t="s">
        <v>98</v>
      </c>
    </row>
    <row r="10" spans="1:11" ht="15" customHeight="1" x14ac:dyDescent="0.25">
      <c r="A10" s="5"/>
      <c r="B10" s="5" t="s">
        <v>103</v>
      </c>
      <c r="C10" s="6">
        <v>40</v>
      </c>
      <c r="D10" s="5" t="s">
        <v>102</v>
      </c>
      <c r="E10" s="5" t="s">
        <v>95</v>
      </c>
      <c r="F10" s="5">
        <v>1</v>
      </c>
      <c r="G10" s="5">
        <v>27600</v>
      </c>
      <c r="H10" s="5" t="s">
        <v>96</v>
      </c>
      <c r="I10" s="5" t="s">
        <v>90</v>
      </c>
      <c r="J10" s="5" t="s">
        <v>97</v>
      </c>
      <c r="K10" s="5" t="s">
        <v>98</v>
      </c>
    </row>
    <row r="12" spans="1:11" ht="15" customHeight="1" x14ac:dyDescent="0.25">
      <c r="B12" s="42" t="s">
        <v>9</v>
      </c>
      <c r="C12" s="42"/>
      <c r="D12" s="42"/>
      <c r="E12" s="42"/>
      <c r="F12" s="42"/>
      <c r="G12" s="42"/>
      <c r="H12" s="42"/>
      <c r="I12" s="42"/>
      <c r="J12" s="42"/>
      <c r="K12" s="42"/>
    </row>
    <row r="13" spans="1:11" ht="15" customHeight="1" x14ac:dyDescent="0.25">
      <c r="A13" s="4"/>
      <c r="B13" s="4" t="s">
        <v>104</v>
      </c>
      <c r="C13" s="4" t="s">
        <v>4</v>
      </c>
      <c r="D13" s="4" t="s">
        <v>5</v>
      </c>
      <c r="E13" s="4"/>
      <c r="F13" s="4"/>
      <c r="G13" s="4"/>
      <c r="H13" s="4"/>
      <c r="I13" s="4"/>
      <c r="J13" s="4"/>
      <c r="K13" s="4" t="s">
        <v>105</v>
      </c>
    </row>
    <row r="14" spans="1:11" ht="15" customHeight="1" x14ac:dyDescent="0.25">
      <c r="A14" s="5"/>
      <c r="B14" s="5" t="s">
        <v>106</v>
      </c>
      <c r="C14" s="6">
        <v>28800</v>
      </c>
      <c r="D14" s="5" t="s">
        <v>10</v>
      </c>
      <c r="E14" s="5"/>
      <c r="F14" s="5"/>
      <c r="G14" s="5"/>
      <c r="H14" s="5"/>
      <c r="I14" s="5"/>
      <c r="J14" s="5"/>
      <c r="K14" s="5" t="s">
        <v>107</v>
      </c>
    </row>
    <row r="15" spans="1:11" ht="23.25" customHeight="1" x14ac:dyDescent="0.25">
      <c r="A15" s="5"/>
      <c r="B15" s="5" t="s">
        <v>108</v>
      </c>
      <c r="C15" s="6">
        <v>1200</v>
      </c>
      <c r="D15" s="5" t="s">
        <v>10</v>
      </c>
      <c r="E15" s="5"/>
      <c r="F15" s="5"/>
      <c r="G15" s="5"/>
      <c r="H15" s="5"/>
      <c r="I15" s="5"/>
      <c r="J15" s="5"/>
      <c r="K15" s="5" t="s">
        <v>109</v>
      </c>
    </row>
    <row r="16" spans="1:11" ht="15" customHeight="1" x14ac:dyDescent="0.25">
      <c r="A16" s="5"/>
      <c r="B16" s="5" t="s">
        <v>110</v>
      </c>
      <c r="C16" s="9">
        <f>C14-C15</f>
        <v>27600</v>
      </c>
      <c r="D16" s="5" t="s">
        <v>10</v>
      </c>
      <c r="E16" s="5"/>
      <c r="F16" s="5"/>
      <c r="G16" s="5"/>
      <c r="H16" s="5"/>
      <c r="I16" s="5"/>
      <c r="J16" s="5"/>
      <c r="K16" s="5" t="s">
        <v>111</v>
      </c>
    </row>
    <row r="18" spans="1:11" ht="15" customHeight="1" x14ac:dyDescent="0.25">
      <c r="B18" s="42" t="s">
        <v>482</v>
      </c>
      <c r="C18" s="42"/>
      <c r="D18" s="42"/>
      <c r="E18" s="42"/>
      <c r="F18" s="42"/>
      <c r="G18" s="42"/>
      <c r="H18" s="42"/>
      <c r="I18" s="42"/>
      <c r="J18" s="42"/>
      <c r="K18" s="42"/>
    </row>
    <row r="19" spans="1:11" ht="15" customHeight="1" x14ac:dyDescent="0.25">
      <c r="B19" s="10" t="s">
        <v>112</v>
      </c>
    </row>
    <row r="20" spans="1:11" ht="26.25" customHeight="1" x14ac:dyDescent="0.25">
      <c r="A20" s="4"/>
      <c r="B20" s="4" t="s">
        <v>77</v>
      </c>
      <c r="C20" s="4" t="s">
        <v>82</v>
      </c>
      <c r="D20" s="4" t="s">
        <v>78</v>
      </c>
      <c r="E20" s="4" t="s">
        <v>113</v>
      </c>
      <c r="F20" s="4"/>
      <c r="G20" s="4" t="s">
        <v>114</v>
      </c>
      <c r="H20" s="4"/>
      <c r="I20" s="4"/>
      <c r="J20" s="4"/>
      <c r="K20" s="4" t="s">
        <v>115</v>
      </c>
    </row>
    <row r="21" spans="1:11" ht="15" customHeight="1" x14ac:dyDescent="0.25">
      <c r="A21" s="5"/>
      <c r="B21" s="5" t="s">
        <v>86</v>
      </c>
      <c r="C21" s="5">
        <v>27600</v>
      </c>
      <c r="D21" s="5">
        <v>1</v>
      </c>
      <c r="E21" s="11">
        <v>0.85</v>
      </c>
      <c r="F21" s="5"/>
      <c r="G21" s="12">
        <f>(C21/D21)*E21</f>
        <v>23460</v>
      </c>
      <c r="H21" s="5"/>
      <c r="I21" s="5"/>
      <c r="J21" s="5"/>
      <c r="K21" s="5" t="s">
        <v>116</v>
      </c>
    </row>
    <row r="22" spans="1:11" ht="15" customHeight="1" x14ac:dyDescent="0.25">
      <c r="A22" s="5"/>
      <c r="B22" s="5" t="s">
        <v>93</v>
      </c>
      <c r="C22" s="5">
        <v>27600</v>
      </c>
      <c r="D22" s="5">
        <v>39</v>
      </c>
      <c r="E22" s="11">
        <v>1</v>
      </c>
      <c r="F22" s="5"/>
      <c r="G22" s="12">
        <f>(C22/D22)*E22</f>
        <v>707.69230769230774</v>
      </c>
      <c r="H22" s="5"/>
      <c r="I22" s="5"/>
      <c r="J22" s="5"/>
      <c r="K22" s="5" t="s">
        <v>117</v>
      </c>
    </row>
    <row r="23" spans="1:11" ht="15" customHeight="1" x14ac:dyDescent="0.25">
      <c r="A23" s="5"/>
      <c r="B23" s="5" t="s">
        <v>99</v>
      </c>
      <c r="C23" s="5">
        <v>27600</v>
      </c>
      <c r="D23" s="5">
        <v>46</v>
      </c>
      <c r="E23" s="11">
        <v>0.8</v>
      </c>
      <c r="F23" s="5"/>
      <c r="G23" s="12">
        <f>(C23/D23)*E23</f>
        <v>480</v>
      </c>
      <c r="H23" s="5"/>
      <c r="I23" s="5"/>
      <c r="J23" s="5"/>
      <c r="K23" s="5" t="s">
        <v>118</v>
      </c>
    </row>
    <row r="24" spans="1:11" ht="15" customHeight="1" x14ac:dyDescent="0.25">
      <c r="A24" s="5"/>
      <c r="B24" s="5" t="s">
        <v>101</v>
      </c>
      <c r="C24" s="5">
        <v>27600</v>
      </c>
      <c r="D24" s="5">
        <v>62</v>
      </c>
      <c r="E24" s="11">
        <v>1</v>
      </c>
      <c r="F24" s="5"/>
      <c r="G24" s="12">
        <f>(C24/D24)*E24</f>
        <v>445.16129032258067</v>
      </c>
      <c r="H24" s="5"/>
      <c r="I24" s="5"/>
      <c r="J24" s="5"/>
      <c r="K24" s="5" t="s">
        <v>119</v>
      </c>
    </row>
    <row r="25" spans="1:11" ht="15" customHeight="1" x14ac:dyDescent="0.25">
      <c r="A25" s="5"/>
      <c r="B25" s="5" t="s">
        <v>103</v>
      </c>
      <c r="C25" s="5">
        <v>27600</v>
      </c>
      <c r="D25" s="5">
        <v>40</v>
      </c>
      <c r="E25" s="11">
        <v>1</v>
      </c>
      <c r="F25" s="5"/>
      <c r="G25" s="12">
        <f>(C25/D25)*E25</f>
        <v>690</v>
      </c>
      <c r="H25" s="5"/>
      <c r="I25" s="5"/>
      <c r="J25" s="5"/>
      <c r="K25" s="5" t="s">
        <v>120</v>
      </c>
    </row>
  </sheetData>
  <mergeCells count="3">
    <mergeCell ref="B12:K12"/>
    <mergeCell ref="B18:K18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H31"/>
  <sheetViews>
    <sheetView showGridLines="0" tabSelected="1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28" customWidth="1"/>
    <col min="3" max="4" width="14" customWidth="1"/>
    <col min="5" max="6" width="16" customWidth="1"/>
    <col min="7" max="7" width="14" customWidth="1"/>
    <col min="8" max="8" width="30" customWidth="1"/>
  </cols>
  <sheetData>
    <row r="1" spans="1:8" ht="75" customHeight="1" x14ac:dyDescent="0.25">
      <c r="B1" s="43" t="s">
        <v>490</v>
      </c>
      <c r="C1" s="44"/>
      <c r="D1" s="44"/>
      <c r="E1" s="44"/>
      <c r="F1" s="44"/>
    </row>
    <row r="2" spans="1:8" ht="17.25" customHeight="1" x14ac:dyDescent="0.25">
      <c r="B2" s="1" t="s">
        <v>121</v>
      </c>
    </row>
    <row r="3" spans="1:8" ht="15" customHeight="1" x14ac:dyDescent="0.25">
      <c r="B3" s="2" t="s">
        <v>122</v>
      </c>
    </row>
    <row r="4" spans="1:8" ht="15" customHeight="1" x14ac:dyDescent="0.25">
      <c r="B4" s="13" t="s">
        <v>123</v>
      </c>
    </row>
    <row r="6" spans="1:8" ht="15" customHeight="1" x14ac:dyDescent="0.25">
      <c r="A6" s="4"/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4" t="s">
        <v>105</v>
      </c>
    </row>
    <row r="7" spans="1:8" ht="15" customHeight="1" x14ac:dyDescent="0.25">
      <c r="A7" s="5"/>
      <c r="B7" s="5" t="s">
        <v>130</v>
      </c>
      <c r="C7" s="6"/>
      <c r="D7" s="6"/>
      <c r="E7" s="5" t="s">
        <v>131</v>
      </c>
      <c r="F7" s="5">
        <v>920</v>
      </c>
      <c r="G7" s="6">
        <v>5</v>
      </c>
      <c r="H7" s="5" t="s">
        <v>132</v>
      </c>
    </row>
    <row r="8" spans="1:8" ht="15" customHeight="1" x14ac:dyDescent="0.25">
      <c r="A8" s="5"/>
      <c r="B8" s="5" t="s">
        <v>133</v>
      </c>
      <c r="C8" s="6">
        <v>4600</v>
      </c>
      <c r="D8" s="6">
        <v>2400</v>
      </c>
      <c r="E8" s="8">
        <f>C8+D8</f>
        <v>7000</v>
      </c>
      <c r="F8" s="5">
        <v>920</v>
      </c>
      <c r="G8" s="7">
        <f>E8/F8</f>
        <v>7.6086956521739131</v>
      </c>
      <c r="H8" s="5" t="s">
        <v>134</v>
      </c>
    </row>
    <row r="9" spans="1:8" ht="15" customHeight="1" x14ac:dyDescent="0.25">
      <c r="A9" s="5"/>
      <c r="B9" s="5" t="s">
        <v>135</v>
      </c>
      <c r="C9" s="6">
        <v>1100</v>
      </c>
      <c r="D9" s="6">
        <v>600</v>
      </c>
      <c r="E9" s="8">
        <f>C9+D9</f>
        <v>1700</v>
      </c>
      <c r="F9" s="5">
        <v>920</v>
      </c>
      <c r="G9" s="7">
        <f>E9/F9</f>
        <v>1.8478260869565217</v>
      </c>
      <c r="H9" s="5" t="s">
        <v>136</v>
      </c>
    </row>
    <row r="10" spans="1:8" ht="15" customHeight="1" x14ac:dyDescent="0.25">
      <c r="A10" s="5"/>
      <c r="B10" s="5" t="s">
        <v>137</v>
      </c>
      <c r="C10" s="6">
        <v>1600</v>
      </c>
      <c r="D10" s="6">
        <v>850</v>
      </c>
      <c r="E10" s="8">
        <f>C10+D10</f>
        <v>2450</v>
      </c>
      <c r="F10" s="5">
        <v>920</v>
      </c>
      <c r="G10" s="7">
        <f>E10/F10</f>
        <v>2.6630434782608696</v>
      </c>
      <c r="H10" s="5" t="s">
        <v>138</v>
      </c>
    </row>
    <row r="11" spans="1:8" ht="15" customHeight="1" x14ac:dyDescent="0.25">
      <c r="A11" s="5"/>
      <c r="B11" s="5" t="s">
        <v>139</v>
      </c>
      <c r="C11" s="6">
        <v>1200</v>
      </c>
      <c r="D11" s="6">
        <v>640</v>
      </c>
      <c r="E11" s="8">
        <f>C11+D11</f>
        <v>1840</v>
      </c>
      <c r="F11" s="5">
        <v>920</v>
      </c>
      <c r="G11" s="7">
        <f>E11/F11</f>
        <v>2</v>
      </c>
      <c r="H11" s="5" t="s">
        <v>140</v>
      </c>
    </row>
    <row r="12" spans="1:8" ht="15" customHeight="1" x14ac:dyDescent="0.25">
      <c r="A12" s="5"/>
      <c r="B12" s="5" t="s">
        <v>141</v>
      </c>
      <c r="C12" s="6">
        <v>2700</v>
      </c>
      <c r="D12" s="6">
        <v>1440</v>
      </c>
      <c r="E12" s="8">
        <f>C12+D12</f>
        <v>4140</v>
      </c>
      <c r="F12" s="5">
        <v>920</v>
      </c>
      <c r="G12" s="7">
        <f>E12/F12</f>
        <v>4.5</v>
      </c>
      <c r="H12" s="5" t="s">
        <v>142</v>
      </c>
    </row>
    <row r="14" spans="1:8" ht="15" customHeight="1" x14ac:dyDescent="0.25">
      <c r="B14" s="42" t="s">
        <v>143</v>
      </c>
      <c r="C14" s="42"/>
      <c r="D14" s="42"/>
      <c r="E14" s="42"/>
      <c r="F14" s="42"/>
      <c r="G14" s="42"/>
      <c r="H14" s="42"/>
    </row>
    <row r="15" spans="1:8" ht="26.25" customHeight="1" x14ac:dyDescent="0.25">
      <c r="A15" s="4"/>
      <c r="B15" s="4" t="s">
        <v>144</v>
      </c>
      <c r="C15" s="4"/>
      <c r="D15" s="4"/>
      <c r="E15" s="4" t="s">
        <v>145</v>
      </c>
      <c r="F15" s="4"/>
      <c r="G15" s="4" t="s">
        <v>146</v>
      </c>
      <c r="H15" s="4" t="s">
        <v>6</v>
      </c>
    </row>
    <row r="16" spans="1:8" ht="15" customHeight="1" x14ac:dyDescent="0.25">
      <c r="A16" s="5"/>
      <c r="B16" s="5" t="s">
        <v>147</v>
      </c>
      <c r="C16" s="5"/>
      <c r="D16" s="5"/>
      <c r="E16" s="5">
        <v>5</v>
      </c>
      <c r="F16" s="5"/>
      <c r="G16" s="5"/>
      <c r="H16" s="5" t="s">
        <v>148</v>
      </c>
    </row>
    <row r="17" spans="1:8" ht="15" customHeight="1" x14ac:dyDescent="0.25">
      <c r="A17" s="5"/>
      <c r="B17" s="5" t="s">
        <v>86</v>
      </c>
      <c r="C17" s="5"/>
      <c r="D17" s="5"/>
      <c r="E17" s="5"/>
      <c r="F17" s="5"/>
      <c r="G17" s="5">
        <v>1</v>
      </c>
      <c r="H17" s="5" t="s">
        <v>149</v>
      </c>
    </row>
    <row r="18" spans="1:8" ht="15" customHeight="1" x14ac:dyDescent="0.25">
      <c r="A18" s="5"/>
      <c r="B18" s="5" t="s">
        <v>150</v>
      </c>
      <c r="C18" s="5"/>
      <c r="D18" s="5"/>
      <c r="E18" s="6">
        <v>7.6</v>
      </c>
      <c r="F18" s="5"/>
      <c r="G18" s="5"/>
      <c r="H18" s="5" t="s">
        <v>151</v>
      </c>
    </row>
    <row r="19" spans="1:8" ht="15" customHeight="1" x14ac:dyDescent="0.25">
      <c r="A19" s="5"/>
      <c r="B19" s="5" t="s">
        <v>152</v>
      </c>
      <c r="C19" s="5"/>
      <c r="D19" s="5"/>
      <c r="E19" s="5"/>
      <c r="F19" s="5"/>
      <c r="G19" s="5">
        <v>39</v>
      </c>
      <c r="H19" s="5" t="s">
        <v>153</v>
      </c>
    </row>
    <row r="20" spans="1:8" ht="15" customHeight="1" x14ac:dyDescent="0.25">
      <c r="A20" s="5"/>
      <c r="B20" s="5" t="s">
        <v>154</v>
      </c>
      <c r="C20" s="5"/>
      <c r="D20" s="5"/>
      <c r="E20" s="6">
        <v>1.8</v>
      </c>
      <c r="F20" s="5"/>
      <c r="G20" s="5"/>
      <c r="H20" s="5" t="s">
        <v>155</v>
      </c>
    </row>
    <row r="21" spans="1:8" ht="15" customHeight="1" x14ac:dyDescent="0.25">
      <c r="A21" s="5"/>
      <c r="B21" s="5" t="s">
        <v>156</v>
      </c>
      <c r="C21" s="5"/>
      <c r="D21" s="5"/>
      <c r="E21" s="5"/>
      <c r="F21" s="5"/>
      <c r="G21" s="5">
        <v>46</v>
      </c>
      <c r="H21" s="5" t="s">
        <v>157</v>
      </c>
    </row>
    <row r="22" spans="1:8" ht="15" customHeight="1" x14ac:dyDescent="0.25">
      <c r="A22" s="5"/>
      <c r="B22" s="5" t="s">
        <v>158</v>
      </c>
      <c r="C22" s="5"/>
      <c r="D22" s="5"/>
      <c r="E22" s="6">
        <v>2.7</v>
      </c>
      <c r="F22" s="5"/>
      <c r="G22" s="5"/>
      <c r="H22" s="5" t="s">
        <v>159</v>
      </c>
    </row>
    <row r="23" spans="1:8" ht="15" customHeight="1" x14ac:dyDescent="0.25">
      <c r="A23" s="5"/>
      <c r="B23" s="5" t="s">
        <v>101</v>
      </c>
      <c r="C23" s="5"/>
      <c r="D23" s="5"/>
      <c r="E23" s="5"/>
      <c r="F23" s="5"/>
      <c r="G23" s="5">
        <v>62</v>
      </c>
      <c r="H23" s="5" t="s">
        <v>160</v>
      </c>
    </row>
    <row r="24" spans="1:8" ht="15" customHeight="1" x14ac:dyDescent="0.25">
      <c r="A24" s="5"/>
      <c r="B24" s="5" t="s">
        <v>161</v>
      </c>
      <c r="C24" s="5"/>
      <c r="D24" s="5"/>
      <c r="E24" s="6">
        <v>2</v>
      </c>
      <c r="F24" s="5"/>
      <c r="G24" s="5"/>
      <c r="H24" s="5" t="s">
        <v>162</v>
      </c>
    </row>
    <row r="25" spans="1:8" ht="15" customHeight="1" x14ac:dyDescent="0.25">
      <c r="A25" s="5"/>
      <c r="B25" s="5" t="s">
        <v>103</v>
      </c>
      <c r="C25" s="5"/>
      <c r="D25" s="5"/>
      <c r="E25" s="5"/>
      <c r="F25" s="5"/>
      <c r="G25" s="5">
        <v>40</v>
      </c>
      <c r="H25" s="5" t="s">
        <v>163</v>
      </c>
    </row>
    <row r="26" spans="1:8" ht="15" customHeight="1" x14ac:dyDescent="0.25">
      <c r="A26" s="5"/>
      <c r="B26" s="5" t="s">
        <v>164</v>
      </c>
      <c r="C26" s="5"/>
      <c r="D26" s="5"/>
      <c r="E26" s="6">
        <v>4.5</v>
      </c>
      <c r="F26" s="5"/>
      <c r="G26" s="5"/>
      <c r="H26" s="5" t="s">
        <v>165</v>
      </c>
    </row>
    <row r="28" spans="1:8" ht="15" customHeight="1" x14ac:dyDescent="0.25">
      <c r="B28" s="14" t="s">
        <v>166</v>
      </c>
      <c r="E28" s="15">
        <f>SUM(E16:E26)</f>
        <v>23.6</v>
      </c>
      <c r="F28" s="16" t="s">
        <v>34</v>
      </c>
      <c r="H28" s="17"/>
    </row>
    <row r="29" spans="1:8" ht="15" customHeight="1" x14ac:dyDescent="0.25">
      <c r="B29" s="14" t="s">
        <v>167</v>
      </c>
      <c r="G29" s="18">
        <f>SUM(G16:G26)</f>
        <v>188</v>
      </c>
      <c r="H29" s="16" t="s">
        <v>10</v>
      </c>
    </row>
    <row r="31" spans="1:8" ht="15" customHeight="1" x14ac:dyDescent="0.25">
      <c r="B31" s="19" t="s">
        <v>168</v>
      </c>
      <c r="E31" s="10" t="s">
        <v>169</v>
      </c>
    </row>
  </sheetData>
  <mergeCells count="2">
    <mergeCell ref="B14:H14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F27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45.28515625" customWidth="1"/>
    <col min="3" max="5" width="16" customWidth="1"/>
    <col min="6" max="6" width="35" customWidth="1"/>
  </cols>
  <sheetData>
    <row r="1" spans="1:6" ht="75" customHeight="1" x14ac:dyDescent="0.25">
      <c r="B1" s="43" t="s">
        <v>490</v>
      </c>
      <c r="C1" s="44"/>
      <c r="D1" s="44"/>
      <c r="E1" s="44"/>
      <c r="F1" s="44"/>
    </row>
    <row r="2" spans="1:6" ht="17.25" customHeight="1" x14ac:dyDescent="0.25">
      <c r="B2" s="1" t="s">
        <v>170</v>
      </c>
    </row>
    <row r="3" spans="1:6" ht="15" customHeight="1" x14ac:dyDescent="0.25">
      <c r="B3" s="2" t="s">
        <v>171</v>
      </c>
    </row>
    <row r="5" spans="1:6" ht="15" customHeight="1" x14ac:dyDescent="0.25">
      <c r="B5" s="42" t="s">
        <v>172</v>
      </c>
      <c r="C5" s="42"/>
      <c r="D5" s="42"/>
      <c r="E5" s="42"/>
      <c r="F5" s="42"/>
    </row>
    <row r="6" spans="1:6" ht="26.25" customHeight="1" x14ac:dyDescent="0.25">
      <c r="A6" s="4"/>
      <c r="B6" s="4" t="s">
        <v>173</v>
      </c>
      <c r="C6" s="4" t="s">
        <v>174</v>
      </c>
      <c r="D6" s="4"/>
      <c r="E6" s="4"/>
      <c r="F6" s="4" t="s">
        <v>6</v>
      </c>
    </row>
    <row r="7" spans="1:6" ht="15" customHeight="1" x14ac:dyDescent="0.25">
      <c r="A7" s="5"/>
      <c r="B7" s="5" t="s">
        <v>93</v>
      </c>
      <c r="C7" s="6">
        <v>39</v>
      </c>
      <c r="D7" s="5"/>
      <c r="E7" s="5"/>
      <c r="F7" s="5" t="s">
        <v>175</v>
      </c>
    </row>
    <row r="8" spans="1:6" ht="15" customHeight="1" x14ac:dyDescent="0.25">
      <c r="A8" s="5"/>
      <c r="B8" s="5" t="s">
        <v>99</v>
      </c>
      <c r="C8" s="6">
        <v>46</v>
      </c>
      <c r="D8" s="5"/>
      <c r="E8" s="5"/>
      <c r="F8" s="5" t="s">
        <v>175</v>
      </c>
    </row>
    <row r="9" spans="1:6" ht="15" customHeight="1" x14ac:dyDescent="0.25">
      <c r="A9" s="5"/>
      <c r="B9" s="5" t="s">
        <v>101</v>
      </c>
      <c r="C9" s="6">
        <v>62</v>
      </c>
      <c r="D9" s="5"/>
      <c r="E9" s="5"/>
      <c r="F9" s="5" t="s">
        <v>175</v>
      </c>
    </row>
    <row r="10" spans="1:6" ht="15" customHeight="1" x14ac:dyDescent="0.25">
      <c r="A10" s="5"/>
      <c r="B10" s="5" t="s">
        <v>103</v>
      </c>
      <c r="C10" s="6">
        <v>40</v>
      </c>
      <c r="D10" s="5"/>
      <c r="E10" s="5"/>
      <c r="F10" s="5" t="s">
        <v>175</v>
      </c>
    </row>
    <row r="12" spans="1:6" ht="15" customHeight="1" x14ac:dyDescent="0.25">
      <c r="B12" s="20" t="s">
        <v>176</v>
      </c>
      <c r="C12" s="18">
        <f>SUM(C7:C10)</f>
        <v>187</v>
      </c>
      <c r="D12" s="16" t="s">
        <v>10</v>
      </c>
      <c r="F12" s="10"/>
    </row>
    <row r="13" spans="1:6" ht="15" customHeight="1" x14ac:dyDescent="0.25">
      <c r="B13" s="20" t="s">
        <v>177</v>
      </c>
      <c r="C13" s="21">
        <v>60</v>
      </c>
      <c r="D13" s="16" t="s">
        <v>10</v>
      </c>
    </row>
    <row r="14" spans="1:6" ht="15" customHeight="1" x14ac:dyDescent="0.25">
      <c r="B14" s="20" t="s">
        <v>178</v>
      </c>
      <c r="C14" s="22">
        <f>C12/C13</f>
        <v>3.1166666666666667</v>
      </c>
      <c r="F14" s="10"/>
    </row>
    <row r="15" spans="1:6" ht="15" customHeight="1" x14ac:dyDescent="0.25">
      <c r="B15" s="20" t="s">
        <v>179</v>
      </c>
      <c r="C15" s="18">
        <f>ROUNDUP(C14,0)</f>
        <v>4</v>
      </c>
      <c r="F15" s="10"/>
    </row>
    <row r="17" spans="2:6" ht="15" customHeight="1" x14ac:dyDescent="0.25">
      <c r="B17" s="42" t="s">
        <v>180</v>
      </c>
      <c r="C17" s="42"/>
      <c r="D17" s="42"/>
      <c r="E17" s="42"/>
      <c r="F17" s="42"/>
    </row>
    <row r="18" spans="2:6" ht="15" customHeight="1" x14ac:dyDescent="0.25">
      <c r="B18" s="23" t="s">
        <v>181</v>
      </c>
    </row>
    <row r="19" spans="2:6" ht="15" customHeight="1" x14ac:dyDescent="0.25">
      <c r="B19" s="20" t="s">
        <v>182</v>
      </c>
      <c r="C19" s="21">
        <v>56</v>
      </c>
      <c r="D19" s="16" t="s">
        <v>183</v>
      </c>
      <c r="F19" s="10" t="s">
        <v>184</v>
      </c>
    </row>
    <row r="20" spans="2:6" ht="15" customHeight="1" x14ac:dyDescent="0.25">
      <c r="B20" s="20" t="s">
        <v>185</v>
      </c>
      <c r="C20" s="18">
        <f>3*C19</f>
        <v>168</v>
      </c>
      <c r="D20" s="16" t="s">
        <v>186</v>
      </c>
      <c r="F20" s="10"/>
    </row>
    <row r="21" spans="2:6" ht="15" customHeight="1" x14ac:dyDescent="0.25">
      <c r="B21" s="20" t="s">
        <v>187</v>
      </c>
      <c r="C21" s="18">
        <f>C12-C20</f>
        <v>19</v>
      </c>
      <c r="D21" s="16" t="s">
        <v>10</v>
      </c>
      <c r="F21" s="10" t="s">
        <v>188</v>
      </c>
    </row>
    <row r="23" spans="2:6" ht="15" customHeight="1" x14ac:dyDescent="0.25">
      <c r="B23" s="42" t="s">
        <v>189</v>
      </c>
      <c r="C23" s="42"/>
      <c r="D23" s="42"/>
      <c r="E23" s="42"/>
      <c r="F23" s="42"/>
    </row>
    <row r="24" spans="2:6" ht="15" customHeight="1" x14ac:dyDescent="0.25">
      <c r="B24" s="20" t="s">
        <v>190</v>
      </c>
      <c r="C24" s="21">
        <v>195</v>
      </c>
      <c r="D24" s="16" t="s">
        <v>10</v>
      </c>
    </row>
    <row r="25" spans="2:6" ht="15" customHeight="1" x14ac:dyDescent="0.25">
      <c r="B25" s="20" t="s">
        <v>177</v>
      </c>
      <c r="C25" s="21">
        <v>45</v>
      </c>
      <c r="D25" s="16" t="s">
        <v>10</v>
      </c>
    </row>
    <row r="26" spans="2:6" ht="15" customHeight="1" x14ac:dyDescent="0.25">
      <c r="B26" s="20" t="s">
        <v>191</v>
      </c>
      <c r="C26" s="41">
        <f>C24/C25</f>
        <v>4.333333333333333</v>
      </c>
      <c r="F26" s="10" t="s">
        <v>483</v>
      </c>
    </row>
    <row r="27" spans="2:6" x14ac:dyDescent="0.25">
      <c r="B27" s="20" t="s">
        <v>179</v>
      </c>
      <c r="C27" s="24">
        <f>ROUNDUP(C26,0)</f>
        <v>5</v>
      </c>
      <c r="D27" t="s">
        <v>81</v>
      </c>
    </row>
  </sheetData>
  <mergeCells count="4">
    <mergeCell ref="B5:F5"/>
    <mergeCell ref="B17:F17"/>
    <mergeCell ref="B23:F23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1:F25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38" customWidth="1"/>
    <col min="3" max="5" width="16" customWidth="1"/>
    <col min="6" max="6" width="35" customWidth="1"/>
  </cols>
  <sheetData>
    <row r="1" spans="2:6" ht="75" customHeight="1" x14ac:dyDescent="0.25">
      <c r="B1" s="43" t="s">
        <v>490</v>
      </c>
      <c r="C1" s="44"/>
      <c r="D1" s="44"/>
      <c r="E1" s="44"/>
      <c r="F1" s="44"/>
    </row>
    <row r="2" spans="2:6" ht="17.25" customHeight="1" x14ac:dyDescent="0.25">
      <c r="B2" s="1" t="s">
        <v>192</v>
      </c>
    </row>
    <row r="3" spans="2:6" ht="15" customHeight="1" x14ac:dyDescent="0.25">
      <c r="B3" s="2" t="s">
        <v>193</v>
      </c>
    </row>
    <row r="5" spans="2:6" ht="15" customHeight="1" x14ac:dyDescent="0.25">
      <c r="B5" s="42" t="s">
        <v>194</v>
      </c>
      <c r="C5" s="42"/>
      <c r="D5" s="42"/>
      <c r="E5" s="42"/>
      <c r="F5" s="42"/>
    </row>
    <row r="6" spans="2:6" ht="15" customHeight="1" x14ac:dyDescent="0.25">
      <c r="B6" s="23" t="s">
        <v>177</v>
      </c>
      <c r="C6" s="21">
        <v>30</v>
      </c>
      <c r="D6" s="16" t="s">
        <v>10</v>
      </c>
    </row>
    <row r="7" spans="2:6" ht="15" customHeight="1" x14ac:dyDescent="0.25">
      <c r="B7" s="23" t="s">
        <v>195</v>
      </c>
      <c r="C7" s="21">
        <v>20</v>
      </c>
      <c r="D7" s="16" t="s">
        <v>196</v>
      </c>
    </row>
    <row r="8" spans="2:6" ht="15" customHeight="1" x14ac:dyDescent="0.25">
      <c r="B8" s="20" t="s">
        <v>197</v>
      </c>
      <c r="C8" s="18">
        <f>C6*C7</f>
        <v>600</v>
      </c>
      <c r="D8" s="16" t="s">
        <v>10</v>
      </c>
    </row>
    <row r="9" spans="2:6" ht="15" customHeight="1" x14ac:dyDescent="0.25">
      <c r="B9" s="20" t="s">
        <v>198</v>
      </c>
      <c r="C9" s="24">
        <f>C8/60</f>
        <v>10</v>
      </c>
      <c r="D9" s="16" t="s">
        <v>199</v>
      </c>
      <c r="F9" s="10"/>
    </row>
    <row r="11" spans="2:6" ht="15" customHeight="1" x14ac:dyDescent="0.25">
      <c r="B11" s="42" t="s">
        <v>200</v>
      </c>
      <c r="C11" s="42"/>
      <c r="D11" s="42"/>
      <c r="E11" s="42"/>
      <c r="F11" s="42"/>
    </row>
    <row r="12" spans="2:6" ht="15" customHeight="1" x14ac:dyDescent="0.25">
      <c r="B12" s="23" t="s">
        <v>177</v>
      </c>
      <c r="C12" s="21">
        <v>60</v>
      </c>
      <c r="D12" s="16" t="s">
        <v>10</v>
      </c>
    </row>
    <row r="13" spans="2:6" ht="15" customHeight="1" x14ac:dyDescent="0.25">
      <c r="B13" s="23" t="s">
        <v>201</v>
      </c>
      <c r="C13" s="21">
        <v>20</v>
      </c>
      <c r="D13" s="16" t="s">
        <v>202</v>
      </c>
    </row>
    <row r="14" spans="2:6" ht="15" customHeight="1" x14ac:dyDescent="0.25">
      <c r="B14" s="20" t="s">
        <v>203</v>
      </c>
      <c r="C14" s="18">
        <f>C12*C13</f>
        <v>1200</v>
      </c>
      <c r="D14" s="16" t="s">
        <v>10</v>
      </c>
    </row>
    <row r="15" spans="2:6" ht="15" customHeight="1" x14ac:dyDescent="0.25">
      <c r="B15" s="20" t="s">
        <v>198</v>
      </c>
      <c r="C15" s="24">
        <f>C14/60</f>
        <v>20</v>
      </c>
      <c r="D15" s="16" t="s">
        <v>199</v>
      </c>
      <c r="F15" s="10"/>
    </row>
    <row r="17" spans="2:6" ht="15" customHeight="1" x14ac:dyDescent="0.25">
      <c r="B17" s="42" t="s">
        <v>484</v>
      </c>
      <c r="C17" s="42"/>
      <c r="D17" s="42"/>
      <c r="E17" s="42"/>
      <c r="F17" s="42"/>
    </row>
    <row r="18" spans="2:6" ht="15" customHeight="1" x14ac:dyDescent="0.25">
      <c r="B18" s="23" t="s">
        <v>204</v>
      </c>
      <c r="C18" s="21">
        <v>460</v>
      </c>
      <c r="D18" s="16" t="s">
        <v>196</v>
      </c>
    </row>
    <row r="19" spans="2:6" ht="15" customHeight="1" x14ac:dyDescent="0.25">
      <c r="B19" s="23" t="s">
        <v>205</v>
      </c>
      <c r="C19" s="21">
        <v>20</v>
      </c>
      <c r="D19" s="16" t="s">
        <v>196</v>
      </c>
    </row>
    <row r="20" spans="2:6" ht="15" customHeight="1" x14ac:dyDescent="0.25">
      <c r="B20" s="20" t="s">
        <v>206</v>
      </c>
      <c r="C20" s="18">
        <f>C18/C19</f>
        <v>23</v>
      </c>
      <c r="F20" s="10"/>
    </row>
    <row r="22" spans="2:6" ht="15" customHeight="1" x14ac:dyDescent="0.25">
      <c r="B22" s="42" t="s">
        <v>485</v>
      </c>
      <c r="C22" s="42"/>
      <c r="D22" s="42"/>
      <c r="E22" s="42"/>
      <c r="F22" s="42"/>
    </row>
    <row r="23" spans="2:6" ht="15" customHeight="1" x14ac:dyDescent="0.25">
      <c r="B23" s="23" t="s">
        <v>207</v>
      </c>
      <c r="C23" s="21">
        <v>27600</v>
      </c>
      <c r="D23" s="16" t="s">
        <v>10</v>
      </c>
    </row>
    <row r="24" spans="2:6" ht="15" customHeight="1" x14ac:dyDescent="0.25">
      <c r="B24" s="23" t="s">
        <v>208</v>
      </c>
      <c r="C24" s="21">
        <v>1200</v>
      </c>
      <c r="D24" s="16" t="s">
        <v>209</v>
      </c>
    </row>
    <row r="25" spans="2:6" ht="15" customHeight="1" x14ac:dyDescent="0.25">
      <c r="B25" s="20" t="s">
        <v>210</v>
      </c>
      <c r="C25" s="18">
        <f>C23/C24</f>
        <v>23</v>
      </c>
      <c r="F25" s="10"/>
    </row>
  </sheetData>
  <mergeCells count="5">
    <mergeCell ref="B5:F5"/>
    <mergeCell ref="B11:F11"/>
    <mergeCell ref="B17:F17"/>
    <mergeCell ref="B22:F22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1:F31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40" customWidth="1"/>
    <col min="3" max="5" width="16" customWidth="1"/>
    <col min="6" max="6" width="38" customWidth="1"/>
  </cols>
  <sheetData>
    <row r="1" spans="2:6" ht="75" customHeight="1" x14ac:dyDescent="0.25">
      <c r="B1" s="43" t="s">
        <v>490</v>
      </c>
      <c r="C1" s="44"/>
      <c r="D1" s="44"/>
      <c r="E1" s="44"/>
      <c r="F1" s="44"/>
    </row>
    <row r="2" spans="2:6" ht="17.25" customHeight="1" x14ac:dyDescent="0.25">
      <c r="B2" s="1" t="s">
        <v>211</v>
      </c>
    </row>
    <row r="3" spans="2:6" ht="15" customHeight="1" x14ac:dyDescent="0.25">
      <c r="B3" s="2" t="s">
        <v>212</v>
      </c>
    </row>
    <row r="5" spans="2:6" ht="15" customHeight="1" x14ac:dyDescent="0.25">
      <c r="B5" s="42" t="s">
        <v>213</v>
      </c>
      <c r="C5" s="42"/>
      <c r="D5" s="42"/>
      <c r="E5" s="42"/>
      <c r="F5" s="42"/>
    </row>
    <row r="6" spans="2:6" ht="15" customHeight="1" x14ac:dyDescent="0.25">
      <c r="B6" s="10" t="s">
        <v>214</v>
      </c>
    </row>
    <row r="7" spans="2:6" ht="15" customHeight="1" x14ac:dyDescent="0.25">
      <c r="B7" s="10" t="s">
        <v>215</v>
      </c>
    </row>
    <row r="9" spans="2:6" ht="15" customHeight="1" x14ac:dyDescent="0.25">
      <c r="B9" s="19" t="s">
        <v>216</v>
      </c>
    </row>
    <row r="10" spans="2:6" ht="15" customHeight="1" x14ac:dyDescent="0.25">
      <c r="B10" s="23" t="s">
        <v>217</v>
      </c>
      <c r="C10" s="21">
        <v>16</v>
      </c>
      <c r="D10" s="16" t="s">
        <v>218</v>
      </c>
    </row>
    <row r="11" spans="2:6" ht="15" customHeight="1" x14ac:dyDescent="0.25">
      <c r="B11" s="23" t="s">
        <v>219</v>
      </c>
      <c r="C11" s="21">
        <v>14.5</v>
      </c>
      <c r="D11" s="16" t="s">
        <v>218</v>
      </c>
    </row>
    <row r="12" spans="2:6" ht="15" customHeight="1" x14ac:dyDescent="0.25">
      <c r="B12" s="20" t="s">
        <v>220</v>
      </c>
      <c r="C12" s="15">
        <f>C10-C11</f>
        <v>1.5</v>
      </c>
      <c r="D12" s="16" t="s">
        <v>218</v>
      </c>
      <c r="F12" s="10"/>
    </row>
    <row r="13" spans="2:6" ht="15" customHeight="1" x14ac:dyDescent="0.25">
      <c r="B13" s="23" t="s">
        <v>221</v>
      </c>
      <c r="C13" s="21">
        <v>0.25</v>
      </c>
      <c r="D13" s="16" t="s">
        <v>222</v>
      </c>
    </row>
    <row r="14" spans="2:6" ht="15" customHeight="1" x14ac:dyDescent="0.25">
      <c r="B14" s="20" t="s">
        <v>223</v>
      </c>
      <c r="C14" s="18">
        <f>C12/C13</f>
        <v>6</v>
      </c>
      <c r="F14" s="10"/>
    </row>
    <row r="15" spans="2:6" ht="15" customHeight="1" x14ac:dyDescent="0.25">
      <c r="B15" s="2" t="s">
        <v>224</v>
      </c>
    </row>
    <row r="17" spans="2:6" ht="15" customHeight="1" x14ac:dyDescent="0.25">
      <c r="B17" s="42" t="s">
        <v>225</v>
      </c>
      <c r="C17" s="42"/>
      <c r="D17" s="42"/>
      <c r="E17" s="42"/>
      <c r="F17" s="42"/>
    </row>
    <row r="18" spans="2:6" ht="15" customHeight="1" x14ac:dyDescent="0.25">
      <c r="B18" s="23" t="s">
        <v>226</v>
      </c>
      <c r="C18" s="21" t="s">
        <v>89</v>
      </c>
      <c r="F18" s="10" t="s">
        <v>227</v>
      </c>
    </row>
    <row r="19" spans="2:6" ht="15" customHeight="1" x14ac:dyDescent="0.25">
      <c r="B19" s="23" t="s">
        <v>228</v>
      </c>
    </row>
    <row r="20" spans="2:6" ht="15" customHeight="1" x14ac:dyDescent="0.25">
      <c r="B20" s="23" t="s">
        <v>229</v>
      </c>
      <c r="C20" s="21">
        <v>600</v>
      </c>
      <c r="D20" s="16" t="s">
        <v>38</v>
      </c>
      <c r="F20" s="10" t="s">
        <v>230</v>
      </c>
    </row>
    <row r="21" spans="2:6" ht="15" customHeight="1" x14ac:dyDescent="0.25">
      <c r="B21" s="23" t="s">
        <v>231</v>
      </c>
      <c r="C21" s="21">
        <v>320</v>
      </c>
      <c r="D21" s="16" t="s">
        <v>38</v>
      </c>
      <c r="F21" s="10" t="s">
        <v>232</v>
      </c>
    </row>
    <row r="22" spans="2:6" ht="15" customHeight="1" x14ac:dyDescent="0.25">
      <c r="B22" s="14" t="s">
        <v>233</v>
      </c>
      <c r="C22" s="18">
        <f>C20</f>
        <v>600</v>
      </c>
      <c r="D22" s="16" t="s">
        <v>196</v>
      </c>
    </row>
    <row r="23" spans="2:6" ht="15" customHeight="1" x14ac:dyDescent="0.25">
      <c r="B23" s="14" t="s">
        <v>234</v>
      </c>
      <c r="C23" s="18">
        <f>C21</f>
        <v>320</v>
      </c>
      <c r="D23" s="16" t="s">
        <v>196</v>
      </c>
    </row>
    <row r="25" spans="2:6" ht="15" customHeight="1" x14ac:dyDescent="0.25">
      <c r="B25" s="19" t="s">
        <v>235</v>
      </c>
    </row>
    <row r="26" spans="2:6" ht="15" customHeight="1" x14ac:dyDescent="0.25">
      <c r="B26" s="20" t="s">
        <v>236</v>
      </c>
      <c r="C26" s="18">
        <f>C20/2</f>
        <v>300</v>
      </c>
      <c r="D26" s="16" t="s">
        <v>196</v>
      </c>
      <c r="F26" s="10"/>
    </row>
    <row r="27" spans="2:6" ht="15" customHeight="1" x14ac:dyDescent="0.25">
      <c r="B27" s="20" t="s">
        <v>237</v>
      </c>
      <c r="C27" s="18">
        <f>C21/2</f>
        <v>160</v>
      </c>
      <c r="D27" s="16" t="s">
        <v>196</v>
      </c>
      <c r="F27" s="10"/>
    </row>
    <row r="29" spans="2:6" ht="15" customHeight="1" x14ac:dyDescent="0.25">
      <c r="B29" s="19" t="s">
        <v>238</v>
      </c>
    </row>
    <row r="30" spans="2:6" ht="15" customHeight="1" x14ac:dyDescent="0.25">
      <c r="B30" s="23" t="s">
        <v>239</v>
      </c>
      <c r="C30" s="21">
        <v>1.5</v>
      </c>
      <c r="D30" s="16" t="s">
        <v>34</v>
      </c>
      <c r="F30" s="10" t="s">
        <v>240</v>
      </c>
    </row>
    <row r="31" spans="2:6" ht="15" customHeight="1" x14ac:dyDescent="0.25">
      <c r="B31" s="23" t="s">
        <v>241</v>
      </c>
      <c r="C31" s="21">
        <v>1</v>
      </c>
      <c r="D31" s="16" t="s">
        <v>242</v>
      </c>
      <c r="F31" s="10" t="s">
        <v>243</v>
      </c>
    </row>
  </sheetData>
  <mergeCells count="3">
    <mergeCell ref="B5:F5"/>
    <mergeCell ref="B17:F17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F33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40" customWidth="1"/>
    <col min="3" max="5" width="16" customWidth="1"/>
    <col min="6" max="6" width="38" customWidth="1"/>
  </cols>
  <sheetData>
    <row r="1" spans="1:6" ht="75" customHeight="1" x14ac:dyDescent="0.25">
      <c r="B1" s="43" t="s">
        <v>490</v>
      </c>
      <c r="C1" s="44"/>
      <c r="D1" s="44"/>
      <c r="E1" s="44"/>
      <c r="F1" s="44"/>
    </row>
    <row r="2" spans="1:6" ht="17.25" customHeight="1" x14ac:dyDescent="0.25">
      <c r="B2" s="1" t="s">
        <v>244</v>
      </c>
    </row>
    <row r="3" spans="1:6" ht="15" customHeight="1" x14ac:dyDescent="0.25">
      <c r="B3" s="2" t="s">
        <v>245</v>
      </c>
    </row>
    <row r="5" spans="1:6" ht="15" customHeight="1" x14ac:dyDescent="0.25">
      <c r="B5" s="42" t="s">
        <v>246</v>
      </c>
      <c r="C5" s="42"/>
      <c r="D5" s="42"/>
      <c r="E5" s="42"/>
      <c r="F5" s="42"/>
    </row>
    <row r="6" spans="1:6" ht="15" customHeight="1" x14ac:dyDescent="0.25">
      <c r="A6" s="5"/>
      <c r="B6" s="5" t="s">
        <v>247</v>
      </c>
      <c r="C6" s="6">
        <v>600</v>
      </c>
      <c r="D6" s="5" t="s">
        <v>38</v>
      </c>
      <c r="E6" s="5"/>
      <c r="F6" s="5" t="s">
        <v>248</v>
      </c>
    </row>
    <row r="7" spans="1:6" ht="15" customHeight="1" x14ac:dyDescent="0.25">
      <c r="A7" s="5"/>
      <c r="B7" s="5" t="s">
        <v>249</v>
      </c>
      <c r="C7" s="6">
        <v>320</v>
      </c>
      <c r="D7" s="5" t="s">
        <v>38</v>
      </c>
      <c r="E7" s="5"/>
      <c r="F7" s="5" t="s">
        <v>248</v>
      </c>
    </row>
    <row r="8" spans="1:6" ht="15" customHeight="1" x14ac:dyDescent="0.25">
      <c r="A8" s="5"/>
      <c r="B8" s="5"/>
      <c r="C8" s="6">
        <v>60</v>
      </c>
      <c r="D8" s="5" t="s">
        <v>196</v>
      </c>
      <c r="E8" s="5"/>
      <c r="F8" s="5" t="s">
        <v>250</v>
      </c>
    </row>
    <row r="9" spans="1:6" ht="15" customHeight="1" x14ac:dyDescent="0.25">
      <c r="A9" s="5"/>
      <c r="B9" s="5" t="s">
        <v>251</v>
      </c>
      <c r="C9" s="6">
        <v>1</v>
      </c>
      <c r="D9" s="5" t="s">
        <v>252</v>
      </c>
      <c r="E9" s="5"/>
      <c r="F9" s="5" t="s">
        <v>253</v>
      </c>
    </row>
    <row r="10" spans="1:6" ht="15" customHeight="1" x14ac:dyDescent="0.25">
      <c r="A10" s="5"/>
      <c r="B10" s="5" t="s">
        <v>254</v>
      </c>
      <c r="C10" s="6">
        <v>1</v>
      </c>
      <c r="D10" s="5" t="s">
        <v>252</v>
      </c>
      <c r="E10" s="5"/>
      <c r="F10" s="5" t="s">
        <v>255</v>
      </c>
    </row>
    <row r="11" spans="1:6" ht="15" customHeight="1" x14ac:dyDescent="0.25">
      <c r="A11" s="5"/>
      <c r="B11" s="5" t="s">
        <v>256</v>
      </c>
      <c r="C11" s="6">
        <v>1.5</v>
      </c>
      <c r="D11" s="5" t="s">
        <v>34</v>
      </c>
      <c r="E11" s="5"/>
      <c r="F11" s="5" t="s">
        <v>257</v>
      </c>
    </row>
    <row r="12" spans="1:6" ht="15" customHeight="1" x14ac:dyDescent="0.25">
      <c r="A12" s="5"/>
      <c r="B12" s="5" t="s">
        <v>258</v>
      </c>
      <c r="C12" s="9">
        <f>C6*C11</f>
        <v>900</v>
      </c>
      <c r="D12" s="5" t="s">
        <v>196</v>
      </c>
      <c r="E12" s="5"/>
      <c r="F12" s="5" t="s">
        <v>259</v>
      </c>
    </row>
    <row r="13" spans="1:6" ht="15" customHeight="1" x14ac:dyDescent="0.25">
      <c r="A13" s="5"/>
      <c r="B13" s="5" t="s">
        <v>260</v>
      </c>
      <c r="C13" s="9">
        <f>C7*C11</f>
        <v>480</v>
      </c>
      <c r="D13" s="5" t="s">
        <v>196</v>
      </c>
      <c r="E13" s="5"/>
      <c r="F13" s="5" t="s">
        <v>261</v>
      </c>
    </row>
    <row r="15" spans="1:6" ht="15" customHeight="1" x14ac:dyDescent="0.25">
      <c r="B15" s="42" t="s">
        <v>262</v>
      </c>
      <c r="C15" s="42"/>
      <c r="D15" s="42"/>
      <c r="E15" s="42"/>
      <c r="F15" s="42"/>
    </row>
    <row r="16" spans="1:6" ht="15" customHeight="1" x14ac:dyDescent="0.25">
      <c r="B16" s="10" t="s">
        <v>263</v>
      </c>
    </row>
    <row r="17" spans="2:6" ht="15" customHeight="1" x14ac:dyDescent="0.25">
      <c r="B17" s="23" t="s">
        <v>233</v>
      </c>
      <c r="C17" s="21">
        <v>600</v>
      </c>
    </row>
    <row r="18" spans="2:6" ht="15" customHeight="1" x14ac:dyDescent="0.25">
      <c r="B18" s="23" t="s">
        <v>234</v>
      </c>
      <c r="C18" s="21">
        <v>320</v>
      </c>
    </row>
    <row r="20" spans="2:6" ht="15" customHeight="1" x14ac:dyDescent="0.25">
      <c r="B20" s="42" t="s">
        <v>486</v>
      </c>
      <c r="C20" s="42"/>
      <c r="D20" s="42"/>
      <c r="E20" s="42"/>
      <c r="F20" s="42"/>
    </row>
    <row r="21" spans="2:6" ht="15" customHeight="1" x14ac:dyDescent="0.25">
      <c r="B21" s="23" t="s">
        <v>264</v>
      </c>
    </row>
    <row r="22" spans="2:6" ht="15" customHeight="1" x14ac:dyDescent="0.25">
      <c r="B22" s="23" t="s">
        <v>265</v>
      </c>
      <c r="C22" s="21">
        <v>60</v>
      </c>
      <c r="D22" s="16" t="s">
        <v>10</v>
      </c>
    </row>
    <row r="23" spans="2:6" ht="15" customHeight="1" x14ac:dyDescent="0.25">
      <c r="B23" s="23" t="s">
        <v>266</v>
      </c>
      <c r="C23" s="21">
        <v>3600</v>
      </c>
      <c r="D23" s="16" t="s">
        <v>267</v>
      </c>
    </row>
    <row r="24" spans="2:6" ht="15" customHeight="1" x14ac:dyDescent="0.25">
      <c r="B24" s="20" t="s">
        <v>268</v>
      </c>
      <c r="C24" s="18">
        <f>C23/C22</f>
        <v>60</v>
      </c>
      <c r="F24" s="17" t="s">
        <v>269</v>
      </c>
    </row>
    <row r="26" spans="2:6" ht="15" customHeight="1" x14ac:dyDescent="0.25">
      <c r="B26" s="42" t="s">
        <v>270</v>
      </c>
      <c r="C26" s="42"/>
      <c r="D26" s="42"/>
      <c r="E26" s="42"/>
      <c r="F26" s="42"/>
    </row>
    <row r="27" spans="2:6" ht="15" customHeight="1" x14ac:dyDescent="0.25">
      <c r="B27" s="23" t="s">
        <v>271</v>
      </c>
      <c r="C27" s="21">
        <v>4.5</v>
      </c>
      <c r="D27" s="16" t="s">
        <v>34</v>
      </c>
    </row>
    <row r="28" spans="2:6" ht="15" customHeight="1" x14ac:dyDescent="0.25">
      <c r="B28" s="23" t="s">
        <v>272</v>
      </c>
      <c r="C28" s="21">
        <v>2</v>
      </c>
      <c r="D28" s="16" t="s">
        <v>34</v>
      </c>
      <c r="F28" s="10" t="s">
        <v>273</v>
      </c>
    </row>
    <row r="30" spans="2:6" ht="15" customHeight="1" x14ac:dyDescent="0.25">
      <c r="B30" s="42" t="s">
        <v>274</v>
      </c>
      <c r="C30" s="42"/>
      <c r="D30" s="42"/>
      <c r="E30" s="42"/>
      <c r="F30" s="42"/>
    </row>
    <row r="31" spans="2:6" ht="15" customHeight="1" x14ac:dyDescent="0.25">
      <c r="B31" s="23" t="s">
        <v>275</v>
      </c>
      <c r="C31" s="21">
        <v>5</v>
      </c>
      <c r="D31" s="16" t="s">
        <v>34</v>
      </c>
      <c r="F31" s="10" t="s">
        <v>276</v>
      </c>
    </row>
    <row r="32" spans="2:6" ht="15" customHeight="1" x14ac:dyDescent="0.25">
      <c r="B32" s="23" t="s">
        <v>277</v>
      </c>
      <c r="C32" s="21">
        <v>1.5</v>
      </c>
      <c r="D32" s="16" t="s">
        <v>34</v>
      </c>
      <c r="F32" s="17" t="s">
        <v>278</v>
      </c>
    </row>
    <row r="33" spans="2:3" ht="15" customHeight="1" x14ac:dyDescent="0.25">
      <c r="B33" s="20" t="s">
        <v>279</v>
      </c>
      <c r="C33" s="25">
        <f>1-(C32/C31)</f>
        <v>0.7</v>
      </c>
    </row>
  </sheetData>
  <mergeCells count="6">
    <mergeCell ref="B1:F1"/>
    <mergeCell ref="B5:F5"/>
    <mergeCell ref="B15:F15"/>
    <mergeCell ref="B20:F20"/>
    <mergeCell ref="B26:F26"/>
    <mergeCell ref="B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H23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22" customWidth="1"/>
    <col min="3" max="6" width="14" customWidth="1"/>
    <col min="7" max="8" width="16" customWidth="1"/>
  </cols>
  <sheetData>
    <row r="1" spans="1:8" ht="75" customHeight="1" x14ac:dyDescent="0.25">
      <c r="B1" s="43" t="s">
        <v>490</v>
      </c>
      <c r="C1" s="44"/>
      <c r="D1" s="44"/>
      <c r="E1" s="44"/>
      <c r="F1" s="44"/>
    </row>
    <row r="2" spans="1:8" ht="17.25" customHeight="1" x14ac:dyDescent="0.25">
      <c r="B2" s="1" t="s">
        <v>280</v>
      </c>
    </row>
    <row r="3" spans="1:8" ht="15" customHeight="1" x14ac:dyDescent="0.25">
      <c r="B3" s="3" t="s">
        <v>281</v>
      </c>
    </row>
    <row r="5" spans="1:8" ht="26.25" customHeight="1" x14ac:dyDescent="0.25">
      <c r="A5" s="4"/>
      <c r="B5" s="4" t="s">
        <v>282</v>
      </c>
      <c r="C5" s="4" t="s">
        <v>283</v>
      </c>
      <c r="D5" s="4" t="s">
        <v>284</v>
      </c>
      <c r="E5" s="4" t="s">
        <v>285</v>
      </c>
      <c r="F5" s="4" t="s">
        <v>286</v>
      </c>
      <c r="G5" s="4" t="s">
        <v>287</v>
      </c>
      <c r="H5" s="4" t="s">
        <v>288</v>
      </c>
    </row>
    <row r="6" spans="1:8" ht="15" customHeight="1" x14ac:dyDescent="0.25">
      <c r="A6" s="5"/>
      <c r="B6" s="5" t="s">
        <v>289</v>
      </c>
      <c r="C6" s="6">
        <v>5</v>
      </c>
      <c r="D6" s="6">
        <v>7.6</v>
      </c>
      <c r="E6" s="6">
        <v>6.5</v>
      </c>
      <c r="F6" s="6">
        <v>4.5</v>
      </c>
      <c r="G6" s="7">
        <f>SUM(C6:F6)</f>
        <v>23.6</v>
      </c>
      <c r="H6" s="6">
        <v>10</v>
      </c>
    </row>
    <row r="7" spans="1:8" ht="15" customHeight="1" x14ac:dyDescent="0.25">
      <c r="A7" s="5"/>
      <c r="B7" s="5" t="s">
        <v>290</v>
      </c>
      <c r="C7" s="6">
        <v>2</v>
      </c>
      <c r="D7" s="6">
        <v>1.5</v>
      </c>
      <c r="E7" s="6">
        <v>0</v>
      </c>
      <c r="F7" s="6">
        <v>4.5</v>
      </c>
      <c r="G7" s="7">
        <f>SUM(C7:F7)</f>
        <v>8</v>
      </c>
      <c r="H7" s="6">
        <v>30</v>
      </c>
    </row>
    <row r="8" spans="1:8" ht="15" customHeight="1" x14ac:dyDescent="0.25">
      <c r="A8" s="5"/>
      <c r="B8" s="5" t="s">
        <v>291</v>
      </c>
      <c r="C8" s="6">
        <v>1.5</v>
      </c>
      <c r="D8" s="6">
        <v>1</v>
      </c>
      <c r="E8" s="6">
        <v>0</v>
      </c>
      <c r="F8" s="6">
        <v>2</v>
      </c>
      <c r="G8" s="7">
        <f>SUM(C8:F8)</f>
        <v>4.5</v>
      </c>
      <c r="H8" s="6">
        <v>53</v>
      </c>
    </row>
    <row r="10" spans="1:8" ht="15" customHeight="1" x14ac:dyDescent="0.25">
      <c r="B10" s="42" t="s">
        <v>487</v>
      </c>
      <c r="C10" s="42"/>
      <c r="D10" s="42"/>
      <c r="E10" s="42"/>
      <c r="F10" s="42"/>
      <c r="G10" s="42"/>
      <c r="H10" s="42"/>
    </row>
    <row r="11" spans="1:8" ht="15" customHeight="1" x14ac:dyDescent="0.25">
      <c r="B11" s="10" t="s">
        <v>292</v>
      </c>
    </row>
    <row r="12" spans="1:8" ht="15" customHeight="1" x14ac:dyDescent="0.25">
      <c r="B12" s="23" t="s">
        <v>293</v>
      </c>
      <c r="C12" s="21">
        <v>240</v>
      </c>
      <c r="D12" s="16" t="s">
        <v>34</v>
      </c>
    </row>
    <row r="14" spans="1:8" ht="15" customHeight="1" x14ac:dyDescent="0.25">
      <c r="A14" s="4"/>
      <c r="B14" s="4" t="s">
        <v>282</v>
      </c>
      <c r="C14" s="4" t="s">
        <v>294</v>
      </c>
      <c r="D14" s="4" t="s">
        <v>295</v>
      </c>
      <c r="E14" s="4"/>
      <c r="F14" s="4"/>
      <c r="G14" s="4"/>
      <c r="H14" s="4"/>
    </row>
    <row r="15" spans="1:8" ht="15" customHeight="1" x14ac:dyDescent="0.25">
      <c r="B15" s="26" t="s">
        <v>296</v>
      </c>
      <c r="C15" s="27">
        <f>G6</f>
        <v>23.6</v>
      </c>
      <c r="D15" s="24">
        <f>C$12/C15</f>
        <v>10.169491525423728</v>
      </c>
    </row>
    <row r="16" spans="1:8" ht="15" customHeight="1" x14ac:dyDescent="0.25">
      <c r="B16" s="26" t="s">
        <v>297</v>
      </c>
      <c r="C16" s="27">
        <f>G7</f>
        <v>8</v>
      </c>
      <c r="D16" s="24">
        <f>C$12/C16</f>
        <v>30</v>
      </c>
    </row>
    <row r="17" spans="1:8" ht="15" customHeight="1" x14ac:dyDescent="0.25">
      <c r="B17" s="26" t="s">
        <v>298</v>
      </c>
      <c r="C17" s="27">
        <f>G8</f>
        <v>4.5</v>
      </c>
      <c r="D17" s="24">
        <f>C$12/C17</f>
        <v>53.333333333333336</v>
      </c>
    </row>
    <row r="19" spans="1:8" ht="15" customHeight="1" x14ac:dyDescent="0.25">
      <c r="B19" s="42" t="s">
        <v>299</v>
      </c>
      <c r="C19" s="42"/>
      <c r="D19" s="42"/>
      <c r="E19" s="42"/>
      <c r="F19" s="42"/>
      <c r="G19" s="42"/>
      <c r="H19" s="42"/>
    </row>
    <row r="20" spans="1:8" ht="26.25" customHeight="1" x14ac:dyDescent="0.25">
      <c r="A20" s="4"/>
      <c r="B20" s="4" t="s">
        <v>282</v>
      </c>
      <c r="C20" s="4" t="s">
        <v>300</v>
      </c>
      <c r="D20" s="4" t="s">
        <v>294</v>
      </c>
      <c r="E20" s="4"/>
      <c r="F20" s="4"/>
      <c r="G20" s="4"/>
      <c r="H20" s="4" t="s">
        <v>301</v>
      </c>
    </row>
    <row r="21" spans="1:8" ht="15" customHeight="1" x14ac:dyDescent="0.25">
      <c r="A21" s="5"/>
      <c r="B21" s="5" t="s">
        <v>302</v>
      </c>
      <c r="C21" s="6">
        <v>188</v>
      </c>
      <c r="D21" s="6">
        <v>23.6</v>
      </c>
      <c r="E21" s="5"/>
      <c r="F21" s="5"/>
      <c r="G21" s="5"/>
      <c r="H21" s="28">
        <f>C21/(D21*86400)</f>
        <v>9.2200251098556178E-5</v>
      </c>
    </row>
    <row r="22" spans="1:8" ht="15" customHeight="1" x14ac:dyDescent="0.25">
      <c r="A22" s="5"/>
      <c r="B22" s="5" t="s">
        <v>303</v>
      </c>
      <c r="C22" s="6">
        <v>169</v>
      </c>
      <c r="D22" s="6">
        <v>4.5</v>
      </c>
      <c r="E22" s="5"/>
      <c r="F22" s="5"/>
      <c r="G22" s="5"/>
      <c r="H22" s="28">
        <f>C22/(D22*86400)</f>
        <v>4.3467078189300413E-4</v>
      </c>
    </row>
    <row r="23" spans="1:8" ht="15" customHeight="1" x14ac:dyDescent="0.25">
      <c r="B23" s="3" t="s">
        <v>304</v>
      </c>
    </row>
  </sheetData>
  <mergeCells count="3">
    <mergeCell ref="B10:H10"/>
    <mergeCell ref="B19:H19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F36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38" customWidth="1"/>
    <col min="3" max="5" width="16" customWidth="1"/>
    <col min="6" max="6" width="40" customWidth="1"/>
  </cols>
  <sheetData>
    <row r="1" spans="1:6" ht="75" customHeight="1" x14ac:dyDescent="0.25">
      <c r="B1" s="43" t="s">
        <v>490</v>
      </c>
      <c r="C1" s="44"/>
      <c r="D1" s="44"/>
      <c r="E1" s="44"/>
      <c r="F1" s="44"/>
    </row>
    <row r="2" spans="1:6" ht="17.25" customHeight="1" x14ac:dyDescent="0.25">
      <c r="B2" s="1" t="s">
        <v>305</v>
      </c>
    </row>
    <row r="4" spans="1:6" ht="15" customHeight="1" x14ac:dyDescent="0.25">
      <c r="B4" s="42" t="s">
        <v>306</v>
      </c>
      <c r="C4" s="42"/>
      <c r="D4" s="42"/>
      <c r="E4" s="42"/>
      <c r="F4" s="42"/>
    </row>
    <row r="5" spans="1:6" ht="15" customHeight="1" x14ac:dyDescent="0.25">
      <c r="A5" s="4"/>
      <c r="B5" s="4" t="s">
        <v>307</v>
      </c>
      <c r="C5" s="4" t="s">
        <v>145</v>
      </c>
      <c r="D5" s="4" t="s">
        <v>146</v>
      </c>
      <c r="E5" s="4"/>
      <c r="F5" s="4" t="s">
        <v>6</v>
      </c>
    </row>
    <row r="6" spans="1:6" ht="15" customHeight="1" x14ac:dyDescent="0.25">
      <c r="A6" s="5"/>
      <c r="B6" s="5" t="s">
        <v>308</v>
      </c>
      <c r="C6" s="6">
        <v>20</v>
      </c>
      <c r="D6" s="6"/>
      <c r="E6" s="5"/>
      <c r="F6" s="5" t="s">
        <v>309</v>
      </c>
    </row>
    <row r="7" spans="1:6" ht="15" customHeight="1" x14ac:dyDescent="0.25">
      <c r="A7" s="5"/>
      <c r="B7" s="5" t="s">
        <v>310</v>
      </c>
      <c r="C7" s="6">
        <v>5</v>
      </c>
      <c r="D7" s="6"/>
      <c r="E7" s="5"/>
      <c r="F7" s="5" t="s">
        <v>311</v>
      </c>
    </row>
    <row r="8" spans="1:6" ht="15" customHeight="1" x14ac:dyDescent="0.25">
      <c r="A8" s="5"/>
      <c r="B8" s="5" t="s">
        <v>312</v>
      </c>
      <c r="C8" s="6"/>
      <c r="D8" s="6">
        <v>15</v>
      </c>
      <c r="E8" s="5"/>
      <c r="F8" s="5" t="s">
        <v>313</v>
      </c>
    </row>
    <row r="9" spans="1:6" ht="15" customHeight="1" x14ac:dyDescent="0.25">
      <c r="A9" s="5"/>
      <c r="B9" s="5" t="s">
        <v>314</v>
      </c>
      <c r="C9" s="6">
        <v>3</v>
      </c>
      <c r="D9" s="6"/>
      <c r="E9" s="5"/>
      <c r="F9" s="5" t="s">
        <v>315</v>
      </c>
    </row>
    <row r="10" spans="1:6" ht="15" customHeight="1" x14ac:dyDescent="0.25">
      <c r="A10" s="5"/>
      <c r="B10" s="5" t="s">
        <v>152</v>
      </c>
      <c r="C10" s="6"/>
      <c r="D10" s="6">
        <v>30</v>
      </c>
      <c r="E10" s="5"/>
      <c r="F10" s="5" t="s">
        <v>316</v>
      </c>
    </row>
    <row r="11" spans="1:6" ht="15" customHeight="1" x14ac:dyDescent="0.25">
      <c r="A11" s="5"/>
      <c r="B11" s="5" t="s">
        <v>317</v>
      </c>
      <c r="C11" s="6">
        <v>3</v>
      </c>
      <c r="D11" s="6"/>
      <c r="E11" s="5"/>
      <c r="F11" s="5" t="s">
        <v>315</v>
      </c>
    </row>
    <row r="12" spans="1:6" ht="15" customHeight="1" x14ac:dyDescent="0.25">
      <c r="A12" s="5"/>
      <c r="B12" s="5" t="s">
        <v>156</v>
      </c>
      <c r="C12" s="6"/>
      <c r="D12" s="6">
        <v>30</v>
      </c>
      <c r="E12" s="5"/>
      <c r="F12" s="5" t="s">
        <v>316</v>
      </c>
    </row>
    <row r="13" spans="1:6" ht="15" customHeight="1" x14ac:dyDescent="0.25">
      <c r="A13" s="5"/>
      <c r="B13" s="5" t="s">
        <v>318</v>
      </c>
      <c r="C13" s="6">
        <v>5</v>
      </c>
      <c r="D13" s="6"/>
      <c r="E13" s="5"/>
      <c r="F13" s="5" t="s">
        <v>319</v>
      </c>
    </row>
    <row r="14" spans="1:6" ht="15" customHeight="1" x14ac:dyDescent="0.25">
      <c r="A14" s="5"/>
      <c r="B14" s="5" t="s">
        <v>320</v>
      </c>
      <c r="C14" s="6"/>
      <c r="D14" s="6">
        <v>30</v>
      </c>
      <c r="E14" s="5"/>
      <c r="F14" s="5" t="s">
        <v>316</v>
      </c>
    </row>
    <row r="15" spans="1:6" ht="15" customHeight="1" x14ac:dyDescent="0.25">
      <c r="A15" s="5"/>
      <c r="B15" s="5" t="s">
        <v>321</v>
      </c>
      <c r="C15" s="6">
        <v>2</v>
      </c>
      <c r="D15" s="6"/>
      <c r="E15" s="5"/>
      <c r="F15" s="5" t="s">
        <v>322</v>
      </c>
    </row>
    <row r="16" spans="1:6" ht="15" customHeight="1" x14ac:dyDescent="0.25">
      <c r="A16" s="5"/>
      <c r="B16" s="5" t="s">
        <v>323</v>
      </c>
      <c r="C16" s="6">
        <v>6</v>
      </c>
      <c r="D16" s="6"/>
      <c r="E16" s="5"/>
      <c r="F16" s="5" t="s">
        <v>324</v>
      </c>
    </row>
    <row r="17" spans="1:6" ht="15" customHeight="1" x14ac:dyDescent="0.25">
      <c r="A17" s="5"/>
      <c r="B17" s="5" t="s">
        <v>325</v>
      </c>
      <c r="C17" s="6"/>
      <c r="D17" s="6">
        <v>195</v>
      </c>
      <c r="E17" s="5"/>
      <c r="F17" s="5" t="s">
        <v>326</v>
      </c>
    </row>
    <row r="18" spans="1:6" ht="15" customHeight="1" x14ac:dyDescent="0.25">
      <c r="A18" s="5"/>
      <c r="B18" s="5" t="s">
        <v>327</v>
      </c>
      <c r="C18" s="6">
        <v>4</v>
      </c>
      <c r="D18" s="6"/>
      <c r="E18" s="5"/>
      <c r="F18" s="5" t="s">
        <v>328</v>
      </c>
    </row>
    <row r="19" spans="1:6" ht="15" customHeight="1" x14ac:dyDescent="0.25">
      <c r="A19" s="5"/>
      <c r="B19" s="5" t="s">
        <v>329</v>
      </c>
      <c r="C19" s="6">
        <v>20</v>
      </c>
      <c r="D19" s="6"/>
      <c r="E19" s="5"/>
      <c r="F19" s="5" t="s">
        <v>330</v>
      </c>
    </row>
    <row r="20" spans="1:6" ht="15" customHeight="1" x14ac:dyDescent="0.25">
      <c r="A20" s="5"/>
      <c r="B20" s="5" t="s">
        <v>331</v>
      </c>
      <c r="C20" s="6">
        <v>4</v>
      </c>
      <c r="D20" s="6"/>
      <c r="E20" s="5"/>
      <c r="F20" s="5" t="s">
        <v>332</v>
      </c>
    </row>
    <row r="21" spans="1:6" ht="15" customHeight="1" x14ac:dyDescent="0.25">
      <c r="A21" s="5"/>
      <c r="B21" s="5" t="s">
        <v>333</v>
      </c>
      <c r="C21" s="6"/>
      <c r="D21" s="6">
        <v>30</v>
      </c>
      <c r="E21" s="5"/>
      <c r="F21" s="5" t="s">
        <v>334</v>
      </c>
    </row>
    <row r="23" spans="1:6" ht="15" customHeight="1" x14ac:dyDescent="0.25">
      <c r="B23" s="14" t="s">
        <v>335</v>
      </c>
      <c r="C23" s="18">
        <v>43</v>
      </c>
      <c r="D23" s="16" t="s">
        <v>34</v>
      </c>
      <c r="F23" s="10" t="s">
        <v>488</v>
      </c>
    </row>
    <row r="24" spans="1:6" ht="15" customHeight="1" x14ac:dyDescent="0.25">
      <c r="B24" s="14" t="s">
        <v>336</v>
      </c>
      <c r="C24" s="18">
        <v>315</v>
      </c>
      <c r="D24" s="16" t="s">
        <v>10</v>
      </c>
      <c r="F24" s="10" t="s">
        <v>489</v>
      </c>
    </row>
    <row r="26" spans="1:6" ht="15" customHeight="1" x14ac:dyDescent="0.25">
      <c r="B26" s="42" t="s">
        <v>337</v>
      </c>
      <c r="C26" s="42"/>
      <c r="D26" s="42"/>
      <c r="E26" s="42"/>
      <c r="F26" s="42"/>
    </row>
    <row r="27" spans="1:6" ht="15" customHeight="1" x14ac:dyDescent="0.25">
      <c r="A27" s="5"/>
      <c r="B27" s="5" t="s">
        <v>177</v>
      </c>
      <c r="C27" s="6">
        <v>45</v>
      </c>
      <c r="D27" s="5" t="s">
        <v>10</v>
      </c>
      <c r="E27" s="5"/>
      <c r="F27" s="5" t="s">
        <v>338</v>
      </c>
    </row>
    <row r="28" spans="1:6" ht="15" customHeight="1" x14ac:dyDescent="0.25">
      <c r="A28" s="5"/>
      <c r="B28" s="5" t="s">
        <v>339</v>
      </c>
      <c r="C28" s="6">
        <v>39</v>
      </c>
      <c r="D28" s="5" t="s">
        <v>10</v>
      </c>
      <c r="E28" s="5"/>
      <c r="F28" s="5" t="s">
        <v>340</v>
      </c>
    </row>
    <row r="29" spans="1:6" ht="15" customHeight="1" x14ac:dyDescent="0.25">
      <c r="A29" s="5"/>
      <c r="B29" s="5" t="s">
        <v>207</v>
      </c>
      <c r="C29" s="6">
        <v>27000</v>
      </c>
      <c r="D29" s="5" t="s">
        <v>10</v>
      </c>
      <c r="E29" s="5"/>
      <c r="F29" s="5"/>
    </row>
    <row r="30" spans="1:6" ht="15" customHeight="1" x14ac:dyDescent="0.25">
      <c r="A30" s="5"/>
      <c r="B30" s="5" t="s">
        <v>341</v>
      </c>
      <c r="C30" s="8">
        <f>C29*600</f>
        <v>16200000</v>
      </c>
      <c r="D30" s="5" t="s">
        <v>10</v>
      </c>
      <c r="E30" s="5"/>
      <c r="F30" s="5" t="s">
        <v>342</v>
      </c>
    </row>
    <row r="31" spans="1:6" ht="15" customHeight="1" x14ac:dyDescent="0.25">
      <c r="A31" s="5"/>
      <c r="B31" s="5" t="s">
        <v>343</v>
      </c>
      <c r="C31" s="8">
        <f>C29-C30</f>
        <v>-16173000</v>
      </c>
      <c r="D31" s="5" t="s">
        <v>10</v>
      </c>
      <c r="E31" s="5"/>
      <c r="F31" s="5" t="s">
        <v>344</v>
      </c>
    </row>
    <row r="32" spans="1:6" ht="15" customHeight="1" x14ac:dyDescent="0.25">
      <c r="A32" s="5"/>
      <c r="B32" s="5" t="s">
        <v>345</v>
      </c>
      <c r="C32" s="6">
        <v>300</v>
      </c>
      <c r="D32" s="5" t="s">
        <v>10</v>
      </c>
      <c r="E32" s="5"/>
      <c r="F32" s="5" t="s">
        <v>346</v>
      </c>
    </row>
    <row r="33" spans="1:6" ht="15" customHeight="1" x14ac:dyDescent="0.25">
      <c r="A33" s="5"/>
      <c r="B33" s="5" t="s">
        <v>347</v>
      </c>
      <c r="C33" s="29">
        <f>C31/C32</f>
        <v>-53910</v>
      </c>
      <c r="D33" s="5"/>
      <c r="E33" s="5"/>
      <c r="F33" s="5" t="s">
        <v>348</v>
      </c>
    </row>
    <row r="34" spans="1:6" ht="15" customHeight="1" x14ac:dyDescent="0.25">
      <c r="A34" s="5"/>
      <c r="B34" s="5" t="s">
        <v>349</v>
      </c>
      <c r="C34" s="6">
        <v>5</v>
      </c>
      <c r="D34" s="5" t="s">
        <v>350</v>
      </c>
      <c r="E34" s="5"/>
      <c r="F34" s="5" t="s">
        <v>351</v>
      </c>
    </row>
    <row r="35" spans="1:6" ht="15" customHeight="1" x14ac:dyDescent="0.25">
      <c r="A35" s="5"/>
      <c r="B35" s="5" t="s">
        <v>352</v>
      </c>
      <c r="C35" s="6" t="s">
        <v>353</v>
      </c>
      <c r="D35" s="5" t="s">
        <v>34</v>
      </c>
      <c r="E35" s="5"/>
      <c r="F35" s="5"/>
    </row>
    <row r="36" spans="1:6" ht="15" customHeight="1" x14ac:dyDescent="0.25">
      <c r="A36" s="5"/>
      <c r="B36" s="5" t="s">
        <v>354</v>
      </c>
      <c r="C36" s="6">
        <v>315</v>
      </c>
      <c r="D36" s="5" t="s">
        <v>10</v>
      </c>
      <c r="E36" s="5"/>
      <c r="F36" s="5" t="s">
        <v>355</v>
      </c>
    </row>
  </sheetData>
  <mergeCells count="3">
    <mergeCell ref="B4:F4"/>
    <mergeCell ref="B26:F26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</sheetPr>
  <dimension ref="A1:F38"/>
  <sheetViews>
    <sheetView showGridLines="0" zoomScaleNormal="100" workbookViewId="0">
      <selection activeCell="B1" sqref="B1:F1"/>
    </sheetView>
  </sheetViews>
  <sheetFormatPr defaultColWidth="8.7109375" defaultRowHeight="15" x14ac:dyDescent="0.25"/>
  <cols>
    <col min="1" max="1" width="4" customWidth="1"/>
    <col min="2" max="2" width="12" customWidth="1"/>
    <col min="3" max="3" width="36" customWidth="1"/>
    <col min="4" max="4" width="40" customWidth="1"/>
    <col min="5" max="5" width="30" customWidth="1"/>
    <col min="6" max="6" width="22" customWidth="1"/>
  </cols>
  <sheetData>
    <row r="1" spans="1:6" ht="75" customHeight="1" x14ac:dyDescent="0.25">
      <c r="B1" s="43" t="s">
        <v>490</v>
      </c>
      <c r="C1" s="44"/>
      <c r="D1" s="44"/>
      <c r="E1" s="44"/>
      <c r="F1" s="44"/>
    </row>
    <row r="2" spans="1:6" ht="17.25" customHeight="1" x14ac:dyDescent="0.25">
      <c r="B2" s="1" t="s">
        <v>356</v>
      </c>
    </row>
    <row r="4" spans="1:6" ht="15" customHeight="1" x14ac:dyDescent="0.25">
      <c r="A4" s="4"/>
      <c r="B4" s="4" t="s">
        <v>357</v>
      </c>
      <c r="C4" s="4" t="s">
        <v>358</v>
      </c>
      <c r="D4" s="4" t="s">
        <v>359</v>
      </c>
      <c r="E4" s="4" t="s">
        <v>360</v>
      </c>
      <c r="F4" s="4" t="s">
        <v>361</v>
      </c>
    </row>
    <row r="5" spans="1:6" ht="15" customHeight="1" x14ac:dyDescent="0.25">
      <c r="A5" s="30"/>
      <c r="B5" s="31">
        <v>1</v>
      </c>
      <c r="C5" s="30" t="s">
        <v>362</v>
      </c>
      <c r="D5" s="32" t="s">
        <v>363</v>
      </c>
      <c r="E5" s="30" t="s">
        <v>364</v>
      </c>
      <c r="F5" s="30" t="s">
        <v>365</v>
      </c>
    </row>
    <row r="6" spans="1:6" ht="15" customHeight="1" x14ac:dyDescent="0.25">
      <c r="A6" s="5"/>
      <c r="B6" s="33">
        <v>2</v>
      </c>
      <c r="C6" s="5" t="s">
        <v>177</v>
      </c>
      <c r="D6" s="34" t="s">
        <v>366</v>
      </c>
      <c r="E6" s="5" t="s">
        <v>367</v>
      </c>
      <c r="F6" s="5" t="s">
        <v>368</v>
      </c>
    </row>
    <row r="7" spans="1:6" ht="15" customHeight="1" x14ac:dyDescent="0.25">
      <c r="A7" s="30"/>
      <c r="B7" s="31">
        <v>3</v>
      </c>
      <c r="C7" s="30" t="s">
        <v>369</v>
      </c>
      <c r="D7" s="32" t="s">
        <v>370</v>
      </c>
      <c r="E7" s="30" t="s">
        <v>39</v>
      </c>
      <c r="F7" s="30" t="s">
        <v>371</v>
      </c>
    </row>
    <row r="8" spans="1:6" ht="15" customHeight="1" x14ac:dyDescent="0.25">
      <c r="A8" s="5"/>
      <c r="B8" s="33">
        <v>4</v>
      </c>
      <c r="C8" s="5" t="s">
        <v>372</v>
      </c>
      <c r="D8" s="34" t="s">
        <v>373</v>
      </c>
      <c r="E8" s="5" t="s">
        <v>47</v>
      </c>
      <c r="F8" s="5" t="s">
        <v>371</v>
      </c>
    </row>
    <row r="9" spans="1:6" ht="15" customHeight="1" x14ac:dyDescent="0.25">
      <c r="A9" s="30"/>
      <c r="B9" s="31">
        <v>5</v>
      </c>
      <c r="C9" s="30" t="s">
        <v>374</v>
      </c>
      <c r="D9" s="32" t="s">
        <v>375</v>
      </c>
      <c r="E9" s="30" t="s">
        <v>376</v>
      </c>
      <c r="F9" s="30" t="s">
        <v>377</v>
      </c>
    </row>
    <row r="10" spans="1:6" ht="15" customHeight="1" x14ac:dyDescent="0.25">
      <c r="A10" s="5"/>
      <c r="B10" s="33">
        <v>6</v>
      </c>
      <c r="C10" s="5" t="s">
        <v>378</v>
      </c>
      <c r="D10" s="34" t="s">
        <v>379</v>
      </c>
      <c r="E10" s="5" t="s">
        <v>380</v>
      </c>
      <c r="F10" s="5" t="s">
        <v>381</v>
      </c>
    </row>
    <row r="11" spans="1:6" ht="15" customHeight="1" x14ac:dyDescent="0.25">
      <c r="A11" s="30"/>
      <c r="B11" s="31">
        <v>7</v>
      </c>
      <c r="C11" s="30" t="s">
        <v>382</v>
      </c>
      <c r="D11" s="32" t="s">
        <v>383</v>
      </c>
      <c r="E11" s="30" t="s">
        <v>384</v>
      </c>
      <c r="F11" s="30" t="s">
        <v>381</v>
      </c>
    </row>
    <row r="12" spans="1:6" ht="15" customHeight="1" x14ac:dyDescent="0.25">
      <c r="A12" s="5"/>
      <c r="B12" s="33">
        <v>8</v>
      </c>
      <c r="C12" s="5" t="s">
        <v>385</v>
      </c>
      <c r="D12" s="34" t="s">
        <v>386</v>
      </c>
      <c r="E12" s="5" t="s">
        <v>387</v>
      </c>
      <c r="F12" s="5" t="s">
        <v>388</v>
      </c>
    </row>
    <row r="13" spans="1:6" ht="15" customHeight="1" x14ac:dyDescent="0.25">
      <c r="A13" s="30"/>
      <c r="B13" s="31">
        <v>9</v>
      </c>
      <c r="C13" s="30" t="s">
        <v>389</v>
      </c>
      <c r="D13" s="32" t="s">
        <v>390</v>
      </c>
      <c r="E13" s="30" t="s">
        <v>391</v>
      </c>
      <c r="F13" s="30" t="s">
        <v>392</v>
      </c>
    </row>
    <row r="14" spans="1:6" ht="15" customHeight="1" x14ac:dyDescent="0.25">
      <c r="A14" s="5"/>
      <c r="B14" s="33">
        <v>10</v>
      </c>
      <c r="C14" s="5" t="s">
        <v>393</v>
      </c>
      <c r="D14" s="34" t="s">
        <v>394</v>
      </c>
      <c r="E14" s="5" t="s">
        <v>395</v>
      </c>
      <c r="F14" s="5" t="s">
        <v>396</v>
      </c>
    </row>
    <row r="15" spans="1:6" ht="23.25" customHeight="1" x14ac:dyDescent="0.25">
      <c r="A15" s="30"/>
      <c r="B15" s="31">
        <v>11</v>
      </c>
      <c r="C15" s="30" t="s">
        <v>208</v>
      </c>
      <c r="D15" s="32" t="s">
        <v>397</v>
      </c>
      <c r="E15" s="30" t="s">
        <v>398</v>
      </c>
      <c r="F15" s="30" t="s">
        <v>399</v>
      </c>
    </row>
    <row r="16" spans="1:6" ht="15" customHeight="1" x14ac:dyDescent="0.25">
      <c r="A16" s="5"/>
      <c r="B16" s="33">
        <v>12</v>
      </c>
      <c r="C16" s="5" t="s">
        <v>400</v>
      </c>
      <c r="D16" s="34" t="s">
        <v>401</v>
      </c>
      <c r="E16" s="5" t="s">
        <v>402</v>
      </c>
      <c r="F16" s="5" t="s">
        <v>403</v>
      </c>
    </row>
    <row r="17" spans="1:6" ht="15" customHeight="1" x14ac:dyDescent="0.25">
      <c r="A17" s="30"/>
      <c r="B17" s="31">
        <v>13</v>
      </c>
      <c r="C17" s="30" t="s">
        <v>404</v>
      </c>
      <c r="D17" s="32" t="s">
        <v>405</v>
      </c>
      <c r="E17" s="30" t="s">
        <v>406</v>
      </c>
      <c r="F17" s="30" t="s">
        <v>403</v>
      </c>
    </row>
    <row r="18" spans="1:6" ht="15" customHeight="1" x14ac:dyDescent="0.25">
      <c r="A18" s="5"/>
      <c r="B18" s="33">
        <v>14</v>
      </c>
      <c r="C18" s="5" t="s">
        <v>407</v>
      </c>
      <c r="D18" s="34" t="s">
        <v>408</v>
      </c>
      <c r="E18" s="5" t="s">
        <v>409</v>
      </c>
      <c r="F18" s="5" t="s">
        <v>410</v>
      </c>
    </row>
    <row r="19" spans="1:6" ht="15" customHeight="1" x14ac:dyDescent="0.25">
      <c r="A19" s="30"/>
      <c r="B19" s="31">
        <v>15</v>
      </c>
      <c r="C19" s="30" t="s">
        <v>411</v>
      </c>
      <c r="D19" s="32" t="s">
        <v>412</v>
      </c>
      <c r="E19" s="30" t="s">
        <v>413</v>
      </c>
      <c r="F19" s="30" t="s">
        <v>410</v>
      </c>
    </row>
    <row r="20" spans="1:6" ht="15" customHeight="1" x14ac:dyDescent="0.25">
      <c r="A20" s="5"/>
      <c r="B20" s="33">
        <v>16</v>
      </c>
      <c r="C20" s="5" t="s">
        <v>414</v>
      </c>
      <c r="D20" s="34" t="s">
        <v>415</v>
      </c>
      <c r="E20" s="5" t="s">
        <v>416</v>
      </c>
      <c r="F20" s="5" t="s">
        <v>417</v>
      </c>
    </row>
    <row r="21" spans="1:6" ht="15" customHeight="1" x14ac:dyDescent="0.25">
      <c r="A21" s="30"/>
      <c r="B21" s="31">
        <v>17</v>
      </c>
      <c r="C21" s="30" t="s">
        <v>418</v>
      </c>
      <c r="D21" s="32" t="s">
        <v>373</v>
      </c>
      <c r="E21" s="30" t="s">
        <v>419</v>
      </c>
      <c r="F21" s="30" t="s">
        <v>420</v>
      </c>
    </row>
    <row r="22" spans="1:6" ht="23.25" customHeight="1" x14ac:dyDescent="0.25">
      <c r="A22" s="5"/>
      <c r="B22" s="33">
        <v>18</v>
      </c>
      <c r="C22" s="5" t="s">
        <v>421</v>
      </c>
      <c r="D22" s="34" t="s">
        <v>422</v>
      </c>
      <c r="E22" s="5" t="s">
        <v>423</v>
      </c>
      <c r="F22" s="5" t="s">
        <v>424</v>
      </c>
    </row>
    <row r="23" spans="1:6" ht="15" customHeight="1" x14ac:dyDescent="0.25">
      <c r="A23" s="30"/>
      <c r="B23" s="31">
        <v>19</v>
      </c>
      <c r="C23" s="30" t="s">
        <v>425</v>
      </c>
      <c r="D23" s="32" t="s">
        <v>426</v>
      </c>
      <c r="E23" s="30" t="s">
        <v>427</v>
      </c>
      <c r="F23" s="30" t="s">
        <v>428</v>
      </c>
    </row>
    <row r="24" spans="1:6" ht="15" customHeight="1" x14ac:dyDescent="0.25">
      <c r="A24" s="5"/>
      <c r="B24" s="33">
        <v>20</v>
      </c>
      <c r="C24" s="5" t="s">
        <v>429</v>
      </c>
      <c r="D24" s="34" t="s">
        <v>430</v>
      </c>
      <c r="E24" s="5" t="s">
        <v>431</v>
      </c>
      <c r="F24" s="5" t="s">
        <v>432</v>
      </c>
    </row>
    <row r="25" spans="1:6" ht="15" customHeight="1" x14ac:dyDescent="0.25">
      <c r="A25" s="30"/>
      <c r="B25" s="31">
        <v>21</v>
      </c>
      <c r="C25" s="30" t="s">
        <v>433</v>
      </c>
      <c r="D25" s="32" t="s">
        <v>434</v>
      </c>
      <c r="E25" s="30" t="s">
        <v>435</v>
      </c>
      <c r="F25" s="30" t="s">
        <v>436</v>
      </c>
    </row>
    <row r="26" spans="1:6" ht="15" customHeight="1" x14ac:dyDescent="0.25">
      <c r="A26" s="5"/>
      <c r="B26" s="33">
        <v>22</v>
      </c>
      <c r="C26" s="5" t="s">
        <v>437</v>
      </c>
      <c r="D26" s="34" t="s">
        <v>438</v>
      </c>
      <c r="E26" s="5" t="s">
        <v>439</v>
      </c>
      <c r="F26" s="5" t="s">
        <v>440</v>
      </c>
    </row>
    <row r="27" spans="1:6" ht="15" customHeight="1" x14ac:dyDescent="0.25">
      <c r="A27" s="30"/>
      <c r="B27" s="31">
        <v>23</v>
      </c>
      <c r="C27" s="30" t="s">
        <v>441</v>
      </c>
      <c r="D27" s="32" t="s">
        <v>442</v>
      </c>
      <c r="E27" s="30" t="s">
        <v>443</v>
      </c>
      <c r="F27" s="30" t="s">
        <v>417</v>
      </c>
    </row>
    <row r="28" spans="1:6" ht="15" customHeight="1" x14ac:dyDescent="0.25">
      <c r="A28" s="5"/>
      <c r="B28" s="33">
        <v>24</v>
      </c>
      <c r="C28" s="5" t="s">
        <v>444</v>
      </c>
      <c r="D28" s="34" t="s">
        <v>445</v>
      </c>
      <c r="E28" s="5" t="s">
        <v>446</v>
      </c>
      <c r="F28" s="5" t="s">
        <v>396</v>
      </c>
    </row>
    <row r="29" spans="1:6" ht="15" customHeight="1" x14ac:dyDescent="0.25">
      <c r="A29" s="35"/>
      <c r="B29" s="36">
        <v>25</v>
      </c>
      <c r="C29" s="37" t="s">
        <v>447</v>
      </c>
      <c r="D29" s="38" t="s">
        <v>448</v>
      </c>
      <c r="E29" s="37" t="s">
        <v>449</v>
      </c>
      <c r="F29" s="37" t="s">
        <v>381</v>
      </c>
    </row>
    <row r="30" spans="1:6" ht="15" customHeight="1" x14ac:dyDescent="0.25">
      <c r="B30" s="39">
        <v>26</v>
      </c>
      <c r="C30" s="26" t="s">
        <v>450</v>
      </c>
      <c r="D30" s="40" t="s">
        <v>451</v>
      </c>
      <c r="E30" s="26" t="s">
        <v>452</v>
      </c>
      <c r="F30" s="26" t="s">
        <v>381</v>
      </c>
    </row>
    <row r="31" spans="1:6" ht="15" customHeight="1" x14ac:dyDescent="0.25">
      <c r="A31" s="35"/>
      <c r="B31" s="36">
        <v>27</v>
      </c>
      <c r="C31" s="37" t="s">
        <v>453</v>
      </c>
      <c r="D31" s="38" t="s">
        <v>454</v>
      </c>
      <c r="E31" s="37" t="s">
        <v>455</v>
      </c>
      <c r="F31" s="37" t="s">
        <v>456</v>
      </c>
    </row>
    <row r="32" spans="1:6" ht="15" customHeight="1" x14ac:dyDescent="0.25">
      <c r="B32" s="39">
        <v>28</v>
      </c>
      <c r="C32" s="26" t="s">
        <v>457</v>
      </c>
      <c r="D32" s="40" t="s">
        <v>458</v>
      </c>
      <c r="E32" s="26" t="s">
        <v>459</v>
      </c>
      <c r="F32" s="26" t="s">
        <v>460</v>
      </c>
    </row>
    <row r="33" spans="1:6" ht="15" customHeight="1" x14ac:dyDescent="0.25">
      <c r="A33" s="35"/>
      <c r="B33" s="36">
        <v>29</v>
      </c>
      <c r="C33" s="37" t="s">
        <v>461</v>
      </c>
      <c r="D33" s="38" t="s">
        <v>462</v>
      </c>
      <c r="E33" s="37" t="s">
        <v>463</v>
      </c>
      <c r="F33" s="37" t="s">
        <v>440</v>
      </c>
    </row>
    <row r="34" spans="1:6" ht="15" customHeight="1" x14ac:dyDescent="0.25">
      <c r="B34" s="39">
        <v>30</v>
      </c>
      <c r="C34" s="26" t="s">
        <v>464</v>
      </c>
      <c r="D34" s="40" t="s">
        <v>465</v>
      </c>
      <c r="E34" s="26" t="s">
        <v>466</v>
      </c>
      <c r="F34" s="26" t="s">
        <v>467</v>
      </c>
    </row>
    <row r="35" spans="1:6" ht="15" customHeight="1" x14ac:dyDescent="0.25">
      <c r="A35" s="35"/>
      <c r="B35" s="36">
        <v>31</v>
      </c>
      <c r="C35" s="37" t="s">
        <v>468</v>
      </c>
      <c r="D35" s="38" t="s">
        <v>469</v>
      </c>
      <c r="E35" s="37" t="s">
        <v>470</v>
      </c>
      <c r="F35" s="37" t="s">
        <v>471</v>
      </c>
    </row>
    <row r="36" spans="1:6" ht="15" customHeight="1" x14ac:dyDescent="0.25">
      <c r="B36" s="39">
        <v>32</v>
      </c>
      <c r="C36" s="26" t="s">
        <v>472</v>
      </c>
      <c r="D36" s="40" t="s">
        <v>473</v>
      </c>
      <c r="E36" s="26" t="s">
        <v>474</v>
      </c>
      <c r="F36" s="26" t="s">
        <v>410</v>
      </c>
    </row>
    <row r="37" spans="1:6" ht="15" customHeight="1" x14ac:dyDescent="0.25">
      <c r="A37" s="35"/>
      <c r="B37" s="36">
        <v>33</v>
      </c>
      <c r="C37" s="37" t="s">
        <v>475</v>
      </c>
      <c r="D37" s="38" t="s">
        <v>476</v>
      </c>
      <c r="E37" s="37" t="s">
        <v>477</v>
      </c>
      <c r="F37" s="37" t="s">
        <v>428</v>
      </c>
    </row>
    <row r="38" spans="1:6" ht="15" customHeight="1" x14ac:dyDescent="0.25">
      <c r="B38" s="39">
        <v>34</v>
      </c>
      <c r="C38" s="26" t="s">
        <v>478</v>
      </c>
      <c r="D38" s="40" t="s">
        <v>479</v>
      </c>
      <c r="E38" s="26" t="s">
        <v>480</v>
      </c>
      <c r="F38" s="26" t="s">
        <v>481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Takt Time</vt:lpstr>
      <vt:lpstr>2. Current State Data</vt:lpstr>
      <vt:lpstr>3. Inventory-to-Days</vt:lpstr>
      <vt:lpstr>4. Operators Needed</vt:lpstr>
      <vt:lpstr>5. Pitch</vt:lpstr>
      <vt:lpstr>6. EPE &amp; Batch Size</vt:lpstr>
      <vt:lpstr>7. Supermarket &amp; Kanban</vt:lpstr>
      <vt:lpstr>8. Lead Time Comparison</vt:lpstr>
      <vt:lpstr>9. TWI Industries</vt:lpstr>
      <vt:lpstr>10. All Formulas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KAIZEN ACADEMY</cp:lastModifiedBy>
  <cp:revision>0</cp:revision>
  <dcterms:created xsi:type="dcterms:W3CDTF">2026-02-13T21:26:02Z</dcterms:created>
  <dcterms:modified xsi:type="dcterms:W3CDTF">2026-02-22T08:13:25Z</dcterms:modified>
  <dc:language>en-US</dc:language>
</cp:coreProperties>
</file>