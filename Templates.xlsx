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drawings/drawing12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drawings/drawing13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ontinuousimprovementaca-my.sharepoint.com/personal/learn_continuousimprovement_education/Documents/Ahmed/TCIA/Courses - Complete/Problem Solving/"/>
    </mc:Choice>
  </mc:AlternateContent>
  <xr:revisionPtr revIDLastSave="1110" documentId="8_{9CD50527-A428-451A-876B-63C03F7E2E4C}" xr6:coauthVersionLast="47" xr6:coauthVersionMax="47" xr10:uidLastSave="{F8D10224-99B4-4463-AB01-1D3E6FDC8FF2}"/>
  <bookViews>
    <workbookView xWindow="-108" yWindow="-108" windowWidth="30936" windowHeight="18696" tabRatio="924" activeTab="2" xr2:uid="{36886E54-B1CA-4F7C-9567-C12DBCF39EAD}"/>
  </bookViews>
  <sheets>
    <sheet name="A3" sheetId="16" r:id="rId1"/>
    <sheet name="1-Histogram" sheetId="2" r:id="rId2"/>
    <sheet name="2-Fishbone" sheetId="1" r:id="rId3"/>
    <sheet name="4-Pareto" sheetId="3" r:id="rId4"/>
    <sheet name="5-Graphs - A) Line Graph" sheetId="4" r:id="rId5"/>
    <sheet name="5-Graphs - B) Bar Graphs" sheetId="5" r:id="rId6"/>
    <sheet name="5-Graphs - C) Pie Graphs " sheetId="6" r:id="rId7"/>
    <sheet name="6-(A) SPC X-R" sheetId="7" r:id="rId8"/>
    <sheet name="6-(A) SPC X-S" sheetId="9" r:id="rId9"/>
    <sheet name="6-(B)SPC P" sheetId="10" r:id="rId10"/>
    <sheet name="6-(C)SPC pn" sheetId="11" r:id="rId11"/>
    <sheet name="6-(D)SPC u" sheetId="12" r:id="rId12"/>
    <sheet name="6-(D)SPC c " sheetId="13" r:id="rId13"/>
    <sheet name="7 - Scatter Diagram" sheetId="14" r:id="rId14"/>
  </sheets>
  <definedNames>
    <definedName name="_xlchart.v1.0" hidden="1">'1-Histogram'!$B$1</definedName>
    <definedName name="_xlchart.v1.1" hidden="1">'1-Histogram'!$B$2:$B$101</definedName>
    <definedName name="_xlchart.v1.2" hidden="1">'4-Pareto'!$B$5:$B$19</definedName>
    <definedName name="_xlchart.v1.3" hidden="1">'4-Pareto'!$C$4</definedName>
    <definedName name="_xlchart.v1.4" hidden="1">'4-Pareto'!$C$5:$C$19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K5" i="2"/>
  <c r="K3" i="2"/>
  <c r="K4" i="2"/>
  <c r="D22" i="12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P1" i="7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E44" i="14" s="1"/>
  <c r="D45" i="14"/>
  <c r="D46" i="14"/>
  <c r="D47" i="14"/>
  <c r="D48" i="14"/>
  <c r="D49" i="14"/>
  <c r="D50" i="14"/>
  <c r="D51" i="14"/>
  <c r="B22" i="13"/>
  <c r="C22" i="13"/>
  <c r="D2" i="13" s="1"/>
  <c r="H2" i="13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C23" i="12"/>
  <c r="B23" i="12"/>
  <c r="I2" i="12"/>
  <c r="G15" i="7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C32" i="11"/>
  <c r="B32" i="11"/>
  <c r="I2" i="11"/>
  <c r="B27" i="10"/>
  <c r="C27" i="10"/>
  <c r="E8" i="10" s="1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I2" i="10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O15" i="9"/>
  <c r="N15" i="9"/>
  <c r="O14" i="9"/>
  <c r="N14" i="9"/>
  <c r="O13" i="9"/>
  <c r="N13" i="9"/>
  <c r="O12" i="9"/>
  <c r="N12" i="9"/>
  <c r="O11" i="9"/>
  <c r="N11" i="9"/>
  <c r="O10" i="9"/>
  <c r="N10" i="9"/>
  <c r="O9" i="9"/>
  <c r="N9" i="9"/>
  <c r="O8" i="9"/>
  <c r="N8" i="9"/>
  <c r="O7" i="9"/>
  <c r="N7" i="9"/>
  <c r="O6" i="9"/>
  <c r="N6" i="9"/>
  <c r="O5" i="9"/>
  <c r="N5" i="9"/>
  <c r="O4" i="9"/>
  <c r="N4" i="9"/>
  <c r="O3" i="9"/>
  <c r="N3" i="9"/>
  <c r="P23" i="9" s="1"/>
  <c r="W2" i="9"/>
  <c r="O2" i="9"/>
  <c r="O27" i="9" s="1"/>
  <c r="N2" i="9"/>
  <c r="N27" i="9" s="1"/>
  <c r="W1" i="9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P2" i="7"/>
  <c r="H2" i="7"/>
  <c r="G2" i="7"/>
  <c r="E10" i="12" l="1"/>
  <c r="G10" i="12" s="1"/>
  <c r="E12" i="12"/>
  <c r="E17" i="12"/>
  <c r="E9" i="12"/>
  <c r="E16" i="12"/>
  <c r="E8" i="12"/>
  <c r="E20" i="12"/>
  <c r="E4" i="12"/>
  <c r="E2" i="12"/>
  <c r="E15" i="12"/>
  <c r="E7" i="12"/>
  <c r="D23" i="12"/>
  <c r="E14" i="12"/>
  <c r="E6" i="12"/>
  <c r="E21" i="12"/>
  <c r="E13" i="12"/>
  <c r="E5" i="12"/>
  <c r="E19" i="12"/>
  <c r="E11" i="12"/>
  <c r="E3" i="12"/>
  <c r="E22" i="12"/>
  <c r="E18" i="12"/>
  <c r="E36" i="14"/>
  <c r="D8" i="13"/>
  <c r="I2" i="7"/>
  <c r="H27" i="7"/>
  <c r="J22" i="7" s="1"/>
  <c r="I5" i="7"/>
  <c r="I8" i="7"/>
  <c r="I3" i="7"/>
  <c r="I6" i="7"/>
  <c r="I9" i="7"/>
  <c r="I4" i="7"/>
  <c r="I7" i="7"/>
  <c r="I10" i="7"/>
  <c r="E20" i="14"/>
  <c r="E43" i="14"/>
  <c r="E51" i="14"/>
  <c r="E28" i="14"/>
  <c r="F39" i="14"/>
  <c r="G39" i="14" s="1"/>
  <c r="F47" i="14"/>
  <c r="G47" i="14" s="1"/>
  <c r="E35" i="14"/>
  <c r="E2" i="14"/>
  <c r="E50" i="14"/>
  <c r="E10" i="14"/>
  <c r="F49" i="14"/>
  <c r="G49" i="14" s="1"/>
  <c r="F41" i="14"/>
  <c r="G41" i="14" s="1"/>
  <c r="F33" i="14"/>
  <c r="G33" i="14" s="1"/>
  <c r="F25" i="14"/>
  <c r="G25" i="14" s="1"/>
  <c r="F17" i="14"/>
  <c r="G17" i="14" s="1"/>
  <c r="F9" i="14"/>
  <c r="G9" i="14" s="1"/>
  <c r="E42" i="14"/>
  <c r="E18" i="14"/>
  <c r="F48" i="14"/>
  <c r="G48" i="14" s="1"/>
  <c r="F40" i="14"/>
  <c r="G40" i="14" s="1"/>
  <c r="F32" i="14"/>
  <c r="G32" i="14" s="1"/>
  <c r="F24" i="14"/>
  <c r="G24" i="14" s="1"/>
  <c r="F16" i="14"/>
  <c r="G16" i="14" s="1"/>
  <c r="F8" i="14"/>
  <c r="G8" i="14" s="1"/>
  <c r="E34" i="14"/>
  <c r="E26" i="14"/>
  <c r="E47" i="14"/>
  <c r="E39" i="14"/>
  <c r="E31" i="14"/>
  <c r="E23" i="14"/>
  <c r="E15" i="14"/>
  <c r="E7" i="14"/>
  <c r="F31" i="14"/>
  <c r="G31" i="14" s="1"/>
  <c r="E46" i="14"/>
  <c r="E30" i="14"/>
  <c r="E14" i="14"/>
  <c r="E6" i="14"/>
  <c r="F23" i="14"/>
  <c r="G23" i="14" s="1"/>
  <c r="E38" i="14"/>
  <c r="E22" i="14"/>
  <c r="E45" i="14"/>
  <c r="E37" i="14"/>
  <c r="E29" i="14"/>
  <c r="E21" i="14"/>
  <c r="E13" i="14"/>
  <c r="F7" i="14"/>
  <c r="G7" i="14" s="1"/>
  <c r="F15" i="14"/>
  <c r="G15" i="14" s="1"/>
  <c r="E12" i="14"/>
  <c r="E4" i="14"/>
  <c r="E27" i="14"/>
  <c r="E19" i="14"/>
  <c r="E11" i="14"/>
  <c r="E3" i="14"/>
  <c r="E9" i="14"/>
  <c r="F46" i="14"/>
  <c r="G46" i="14" s="1"/>
  <c r="F38" i="14"/>
  <c r="G38" i="14" s="1"/>
  <c r="F30" i="14"/>
  <c r="G30" i="14" s="1"/>
  <c r="F22" i="14"/>
  <c r="G22" i="14" s="1"/>
  <c r="F14" i="14"/>
  <c r="G14" i="14" s="1"/>
  <c r="F6" i="14"/>
  <c r="G6" i="14" s="1"/>
  <c r="E48" i="14"/>
  <c r="E40" i="14"/>
  <c r="E32" i="14"/>
  <c r="E24" i="14"/>
  <c r="E16" i="14"/>
  <c r="E8" i="14"/>
  <c r="E17" i="14"/>
  <c r="F45" i="14"/>
  <c r="G45" i="14" s="1"/>
  <c r="F37" i="14"/>
  <c r="G37" i="14" s="1"/>
  <c r="F29" i="14"/>
  <c r="G29" i="14" s="1"/>
  <c r="F21" i="14"/>
  <c r="G21" i="14" s="1"/>
  <c r="F13" i="14"/>
  <c r="G13" i="14" s="1"/>
  <c r="F5" i="14"/>
  <c r="G5" i="14" s="1"/>
  <c r="E25" i="14"/>
  <c r="F44" i="14"/>
  <c r="G44" i="14" s="1"/>
  <c r="F36" i="14"/>
  <c r="G36" i="14" s="1"/>
  <c r="F28" i="14"/>
  <c r="G28" i="14" s="1"/>
  <c r="F20" i="14"/>
  <c r="G20" i="14" s="1"/>
  <c r="F12" i="14"/>
  <c r="G12" i="14" s="1"/>
  <c r="F4" i="14"/>
  <c r="G4" i="14" s="1"/>
  <c r="E33" i="14"/>
  <c r="F51" i="14"/>
  <c r="G51" i="14" s="1"/>
  <c r="F43" i="14"/>
  <c r="G43" i="14" s="1"/>
  <c r="F35" i="14"/>
  <c r="G35" i="14" s="1"/>
  <c r="F27" i="14"/>
  <c r="G27" i="14" s="1"/>
  <c r="F19" i="14"/>
  <c r="G19" i="14" s="1"/>
  <c r="F11" i="14"/>
  <c r="G11" i="14" s="1"/>
  <c r="F3" i="14"/>
  <c r="G3" i="14" s="1"/>
  <c r="E5" i="14"/>
  <c r="E41" i="14"/>
  <c r="F50" i="14"/>
  <c r="G50" i="14" s="1"/>
  <c r="F42" i="14"/>
  <c r="G42" i="14" s="1"/>
  <c r="F34" i="14"/>
  <c r="G34" i="14" s="1"/>
  <c r="F26" i="14"/>
  <c r="G26" i="14" s="1"/>
  <c r="F18" i="14"/>
  <c r="G18" i="14" s="1"/>
  <c r="F10" i="14"/>
  <c r="G10" i="14" s="1"/>
  <c r="F2" i="14"/>
  <c r="G2" i="14" s="1"/>
  <c r="E49" i="14"/>
  <c r="E8" i="13"/>
  <c r="F8" i="13"/>
  <c r="F2" i="13"/>
  <c r="E2" i="13"/>
  <c r="D16" i="13"/>
  <c r="D17" i="13"/>
  <c r="D9" i="13"/>
  <c r="D15" i="13"/>
  <c r="D7" i="13"/>
  <c r="D14" i="13"/>
  <c r="D6" i="13"/>
  <c r="D21" i="13"/>
  <c r="D13" i="13"/>
  <c r="D5" i="13"/>
  <c r="D20" i="13"/>
  <c r="D12" i="13"/>
  <c r="D4" i="13"/>
  <c r="D19" i="13"/>
  <c r="D11" i="13"/>
  <c r="D3" i="13"/>
  <c r="D18" i="13"/>
  <c r="D10" i="13"/>
  <c r="E23" i="10"/>
  <c r="E15" i="10"/>
  <c r="E7" i="10"/>
  <c r="F8" i="10"/>
  <c r="E22" i="10"/>
  <c r="E14" i="10"/>
  <c r="E6" i="10"/>
  <c r="F23" i="10"/>
  <c r="F15" i="10"/>
  <c r="F7" i="10"/>
  <c r="E21" i="10"/>
  <c r="E13" i="10"/>
  <c r="E5" i="10"/>
  <c r="E20" i="10"/>
  <c r="E12" i="10"/>
  <c r="E4" i="10"/>
  <c r="E19" i="10"/>
  <c r="E11" i="10"/>
  <c r="E3" i="10"/>
  <c r="E26" i="10"/>
  <c r="E18" i="10"/>
  <c r="E10" i="10"/>
  <c r="E2" i="10"/>
  <c r="E25" i="10"/>
  <c r="E17" i="10"/>
  <c r="E9" i="10"/>
  <c r="E24" i="10"/>
  <c r="E16" i="10"/>
  <c r="Q23" i="9"/>
  <c r="Q11" i="9"/>
  <c r="Q4" i="9"/>
  <c r="Q26" i="9"/>
  <c r="U26" i="9" s="1"/>
  <c r="Q20" i="9"/>
  <c r="T20" i="9" s="1"/>
  <c r="Q18" i="9"/>
  <c r="Q15" i="9"/>
  <c r="U15" i="9" s="1"/>
  <c r="Q12" i="9"/>
  <c r="Q9" i="9"/>
  <c r="Q7" i="9"/>
  <c r="Q3" i="9"/>
  <c r="Q25" i="9"/>
  <c r="U25" i="9" s="1"/>
  <c r="Q21" i="9"/>
  <c r="T21" i="9" s="1"/>
  <c r="Q17" i="9"/>
  <c r="Q14" i="9"/>
  <c r="U14" i="9" s="1"/>
  <c r="Q10" i="9"/>
  <c r="Q6" i="9"/>
  <c r="Q2" i="9"/>
  <c r="Q24" i="9"/>
  <c r="Q22" i="9"/>
  <c r="U22" i="9" s="1"/>
  <c r="Q19" i="9"/>
  <c r="Q16" i="9"/>
  <c r="Q13" i="9"/>
  <c r="T13" i="9" s="1"/>
  <c r="Q8" i="9"/>
  <c r="Q5" i="9"/>
  <c r="P4" i="9"/>
  <c r="P8" i="9"/>
  <c r="P12" i="9"/>
  <c r="S12" i="9" s="1"/>
  <c r="P17" i="9"/>
  <c r="S17" i="9" s="1"/>
  <c r="P20" i="9"/>
  <c r="S20" i="9" s="1"/>
  <c r="P24" i="9"/>
  <c r="R24" i="9" s="1"/>
  <c r="R4" i="9"/>
  <c r="R6" i="9"/>
  <c r="R7" i="9"/>
  <c r="R8" i="9"/>
  <c r="R9" i="9"/>
  <c r="R15" i="9"/>
  <c r="R16" i="9"/>
  <c r="R17" i="9"/>
  <c r="R23" i="9"/>
  <c r="R25" i="9"/>
  <c r="P5" i="9"/>
  <c r="R5" i="9" s="1"/>
  <c r="P9" i="9"/>
  <c r="P13" i="9"/>
  <c r="R13" i="9" s="1"/>
  <c r="P15" i="9"/>
  <c r="S15" i="9" s="1"/>
  <c r="P19" i="9"/>
  <c r="S19" i="9" s="1"/>
  <c r="P26" i="9"/>
  <c r="R26" i="9" s="1"/>
  <c r="T2" i="9"/>
  <c r="S4" i="9"/>
  <c r="S5" i="9"/>
  <c r="S7" i="9"/>
  <c r="S8" i="9"/>
  <c r="S9" i="9"/>
  <c r="S10" i="9"/>
  <c r="S16" i="9"/>
  <c r="S18" i="9"/>
  <c r="S23" i="9"/>
  <c r="S24" i="9"/>
  <c r="S26" i="9"/>
  <c r="P3" i="9"/>
  <c r="S3" i="9" s="1"/>
  <c r="P7" i="9"/>
  <c r="P11" i="9"/>
  <c r="S11" i="9" s="1"/>
  <c r="P16" i="9"/>
  <c r="P21" i="9"/>
  <c r="S21" i="9" s="1"/>
  <c r="P25" i="9"/>
  <c r="S25" i="9" s="1"/>
  <c r="U2" i="9"/>
  <c r="T3" i="9"/>
  <c r="T4" i="9"/>
  <c r="T5" i="9"/>
  <c r="T6" i="9"/>
  <c r="T7" i="9"/>
  <c r="T8" i="9"/>
  <c r="T9" i="9"/>
  <c r="T10" i="9"/>
  <c r="T11" i="9"/>
  <c r="T12" i="9"/>
  <c r="T16" i="9"/>
  <c r="T17" i="9"/>
  <c r="T18" i="9"/>
  <c r="T19" i="9"/>
  <c r="T23" i="9"/>
  <c r="T24" i="9"/>
  <c r="T25" i="9"/>
  <c r="T26" i="9"/>
  <c r="P2" i="9"/>
  <c r="R2" i="9" s="1"/>
  <c r="P6" i="9"/>
  <c r="S6" i="9" s="1"/>
  <c r="P10" i="9"/>
  <c r="R10" i="9" s="1"/>
  <c r="P14" i="9"/>
  <c r="S14" i="9" s="1"/>
  <c r="P18" i="9"/>
  <c r="R18" i="9" s="1"/>
  <c r="P22" i="9"/>
  <c r="R22" i="9" s="1"/>
  <c r="U3" i="9"/>
  <c r="U4" i="9"/>
  <c r="U5" i="9"/>
  <c r="U6" i="9"/>
  <c r="U7" i="9"/>
  <c r="U8" i="9"/>
  <c r="U9" i="9"/>
  <c r="U10" i="9"/>
  <c r="U11" i="9"/>
  <c r="U12" i="9"/>
  <c r="U13" i="9"/>
  <c r="U16" i="9"/>
  <c r="U17" i="9"/>
  <c r="U18" i="9"/>
  <c r="U19" i="9"/>
  <c r="U21" i="9"/>
  <c r="U23" i="9"/>
  <c r="U24" i="9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G27" i="7"/>
  <c r="F10" i="12" l="1"/>
  <c r="G21" i="12"/>
  <c r="F21" i="12"/>
  <c r="G20" i="12"/>
  <c r="F20" i="12"/>
  <c r="G18" i="12"/>
  <c r="F18" i="12"/>
  <c r="G6" i="12"/>
  <c r="F6" i="12"/>
  <c r="G8" i="12"/>
  <c r="F8" i="12"/>
  <c r="G22" i="12"/>
  <c r="F22" i="12"/>
  <c r="G14" i="12"/>
  <c r="F14" i="12"/>
  <c r="G16" i="12"/>
  <c r="F16" i="12"/>
  <c r="G3" i="12"/>
  <c r="F3" i="12"/>
  <c r="F9" i="12"/>
  <c r="G9" i="12"/>
  <c r="G11" i="12"/>
  <c r="F11" i="12"/>
  <c r="F7" i="12"/>
  <c r="G7" i="12"/>
  <c r="F17" i="12"/>
  <c r="G17" i="12"/>
  <c r="G19" i="12"/>
  <c r="F19" i="12"/>
  <c r="F15" i="12"/>
  <c r="G15" i="12"/>
  <c r="F12" i="12"/>
  <c r="G12" i="12"/>
  <c r="G5" i="12"/>
  <c r="F5" i="12"/>
  <c r="G2" i="12"/>
  <c r="F2" i="12"/>
  <c r="G13" i="12"/>
  <c r="F13" i="12"/>
  <c r="G4" i="12"/>
  <c r="F4" i="12"/>
  <c r="J4" i="7"/>
  <c r="N4" i="7" s="1"/>
  <c r="J5" i="7"/>
  <c r="K5" i="7" s="1"/>
  <c r="J24" i="7"/>
  <c r="N24" i="7" s="1"/>
  <c r="J8" i="7"/>
  <c r="L8" i="7" s="1"/>
  <c r="J9" i="7"/>
  <c r="K9" i="7" s="1"/>
  <c r="J12" i="7"/>
  <c r="N12" i="7" s="1"/>
  <c r="J16" i="7"/>
  <c r="M16" i="7" s="1"/>
  <c r="J20" i="7"/>
  <c r="N20" i="7" s="1"/>
  <c r="J13" i="7"/>
  <c r="N13" i="7" s="1"/>
  <c r="J21" i="7"/>
  <c r="L21" i="7" s="1"/>
  <c r="J7" i="7"/>
  <c r="K7" i="7" s="1"/>
  <c r="J15" i="7"/>
  <c r="L15" i="7" s="1"/>
  <c r="J23" i="7"/>
  <c r="N23" i="7" s="1"/>
  <c r="J10" i="7"/>
  <c r="K10" i="7" s="1"/>
  <c r="J18" i="7"/>
  <c r="K18" i="7" s="1"/>
  <c r="J26" i="7"/>
  <c r="M26" i="7" s="1"/>
  <c r="J17" i="7"/>
  <c r="L17" i="7" s="1"/>
  <c r="J25" i="7"/>
  <c r="M25" i="7" s="1"/>
  <c r="J3" i="7"/>
  <c r="N3" i="7" s="1"/>
  <c r="J11" i="7"/>
  <c r="L11" i="7" s="1"/>
  <c r="J19" i="7"/>
  <c r="L19" i="7" s="1"/>
  <c r="J2" i="7"/>
  <c r="L2" i="7" s="1"/>
  <c r="J6" i="7"/>
  <c r="N6" i="7" s="1"/>
  <c r="J14" i="7"/>
  <c r="L14" i="7" s="1"/>
  <c r="L4" i="7"/>
  <c r="K4" i="7"/>
  <c r="K2" i="14" a="1"/>
  <c r="K2" i="14" s="1"/>
  <c r="E15" i="13"/>
  <c r="F15" i="13"/>
  <c r="E20" i="13"/>
  <c r="F20" i="13"/>
  <c r="E9" i="13"/>
  <c r="F9" i="13"/>
  <c r="F10" i="13"/>
  <c r="E10" i="13"/>
  <c r="F5" i="13"/>
  <c r="E5" i="13"/>
  <c r="E17" i="13"/>
  <c r="F17" i="13"/>
  <c r="F18" i="13"/>
  <c r="E18" i="13"/>
  <c r="F13" i="13"/>
  <c r="E13" i="13"/>
  <c r="E16" i="13"/>
  <c r="F16" i="13"/>
  <c r="E12" i="13"/>
  <c r="F12" i="13"/>
  <c r="E6" i="13"/>
  <c r="F6" i="13"/>
  <c r="F3" i="13"/>
  <c r="E3" i="13"/>
  <c r="F21" i="13"/>
  <c r="E21" i="13"/>
  <c r="F11" i="13"/>
  <c r="E11" i="13"/>
  <c r="F19" i="13"/>
  <c r="E19" i="13"/>
  <c r="E14" i="13"/>
  <c r="F14" i="13"/>
  <c r="F4" i="13"/>
  <c r="E4" i="13"/>
  <c r="E7" i="13"/>
  <c r="F7" i="13"/>
  <c r="F9" i="10"/>
  <c r="F11" i="10"/>
  <c r="F17" i="10"/>
  <c r="F19" i="10"/>
  <c r="F2" i="10"/>
  <c r="F12" i="10"/>
  <c r="F6" i="10"/>
  <c r="F4" i="10"/>
  <c r="F10" i="10"/>
  <c r="F20" i="10"/>
  <c r="F14" i="10"/>
  <c r="F25" i="10"/>
  <c r="F18" i="10"/>
  <c r="F5" i="10"/>
  <c r="F22" i="10"/>
  <c r="F16" i="10"/>
  <c r="F26" i="10"/>
  <c r="F13" i="10"/>
  <c r="F24" i="10"/>
  <c r="F3" i="10"/>
  <c r="F21" i="10"/>
  <c r="U20" i="9"/>
  <c r="T15" i="9"/>
  <c r="S22" i="9"/>
  <c r="R21" i="9"/>
  <c r="T22" i="9"/>
  <c r="T14" i="9"/>
  <c r="S13" i="9"/>
  <c r="R20" i="9"/>
  <c r="R12" i="9"/>
  <c r="R14" i="9"/>
  <c r="R19" i="9"/>
  <c r="R11" i="9"/>
  <c r="R3" i="9"/>
  <c r="S2" i="9"/>
  <c r="L22" i="7"/>
  <c r="K22" i="7"/>
  <c r="N5" i="7"/>
  <c r="N14" i="7"/>
  <c r="N22" i="7"/>
  <c r="M22" i="7"/>
  <c r="M4" i="7"/>
  <c r="N8" i="7"/>
  <c r="M8" i="7"/>
  <c r="M9" i="7"/>
  <c r="K25" i="7"/>
  <c r="N11" i="7"/>
  <c r="N19" i="7"/>
  <c r="L16" i="7" l="1"/>
  <c r="L7" i="7"/>
  <c r="M7" i="7"/>
  <c r="N7" i="7"/>
  <c r="M24" i="7"/>
  <c r="N16" i="7"/>
  <c r="N25" i="7"/>
  <c r="L24" i="7"/>
  <c r="N17" i="7"/>
  <c r="M21" i="7"/>
  <c r="L25" i="7"/>
  <c r="K24" i="7"/>
  <c r="K21" i="7"/>
  <c r="K17" i="7"/>
  <c r="N21" i="7"/>
  <c r="M17" i="7"/>
  <c r="M2" i="7"/>
  <c r="L5" i="7"/>
  <c r="M5" i="7"/>
  <c r="K20" i="7"/>
  <c r="L20" i="7"/>
  <c r="M19" i="7"/>
  <c r="N26" i="7"/>
  <c r="K26" i="7"/>
  <c r="K19" i="7"/>
  <c r="M18" i="7"/>
  <c r="N18" i="7"/>
  <c r="N2" i="7"/>
  <c r="L18" i="7"/>
  <c r="M3" i="7"/>
  <c r="M10" i="7"/>
  <c r="M20" i="7"/>
  <c r="K15" i="7"/>
  <c r="K16" i="7"/>
  <c r="N10" i="7"/>
  <c r="L9" i="7"/>
  <c r="L6" i="7"/>
  <c r="M6" i="7"/>
  <c r="K6" i="7"/>
  <c r="L26" i="7"/>
  <c r="K11" i="7"/>
  <c r="K12" i="7"/>
  <c r="M13" i="7"/>
  <c r="L12" i="7"/>
  <c r="L13" i="7"/>
  <c r="K8" i="7"/>
  <c r="K14" i="7"/>
  <c r="M12" i="7"/>
  <c r="N9" i="7"/>
  <c r="M15" i="7"/>
  <c r="K23" i="7"/>
  <c r="M14" i="7"/>
  <c r="L10" i="7"/>
  <c r="L23" i="7"/>
  <c r="L3" i="7"/>
  <c r="K3" i="7"/>
  <c r="M23" i="7"/>
  <c r="K13" i="7"/>
  <c r="K2" i="7"/>
  <c r="M11" i="7"/>
  <c r="N15" i="7"/>
  <c r="C9" i="6"/>
  <c r="D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<sst xmlns="http://schemas.openxmlformats.org/spreadsheetml/2006/main" count="224" uniqueCount="111">
  <si>
    <t>Thickness (Data)</t>
  </si>
  <si>
    <t>Defect</t>
  </si>
  <si>
    <t>Count</t>
  </si>
  <si>
    <t>Misaligned Parts</t>
  </si>
  <si>
    <t>Poor Soldering</t>
  </si>
  <si>
    <t>Fastener Loosening</t>
  </si>
  <si>
    <t>Incorrect Component Placement</t>
  </si>
  <si>
    <t>Damaged Material</t>
  </si>
  <si>
    <t>Insufficient Adhesive</t>
  </si>
  <si>
    <t>Wiring Errors</t>
  </si>
  <si>
    <t>Inconsistent Torque Application</t>
  </si>
  <si>
    <t>Contaminants on Parts</t>
  </si>
  <si>
    <t>Incorrect Labeling</t>
  </si>
  <si>
    <t>Calibration Issues</t>
  </si>
  <si>
    <t>Software/Firmware Issues</t>
  </si>
  <si>
    <t>Temperature Sensitivity</t>
  </si>
  <si>
    <t>Electrical Connection Failure</t>
  </si>
  <si>
    <t>Other</t>
  </si>
  <si>
    <t>Production</t>
  </si>
  <si>
    <t>Day</t>
  </si>
  <si>
    <t>Group (A)</t>
  </si>
  <si>
    <t>Group (B)</t>
  </si>
  <si>
    <t>Group (c)</t>
  </si>
  <si>
    <t>QC Circle Participants</t>
  </si>
  <si>
    <t>Category</t>
  </si>
  <si>
    <t>Participants</t>
  </si>
  <si>
    <t>Supervisors</t>
  </si>
  <si>
    <t>Staff</t>
  </si>
  <si>
    <t>Workers</t>
  </si>
  <si>
    <t>Others</t>
  </si>
  <si>
    <t>QC</t>
  </si>
  <si>
    <t>Total</t>
  </si>
  <si>
    <t>No.</t>
  </si>
  <si>
    <t>6:00</t>
  </si>
  <si>
    <t>10:00</t>
  </si>
  <si>
    <t>14:00</t>
  </si>
  <si>
    <t>18:00</t>
  </si>
  <si>
    <t>22:00</t>
  </si>
  <si>
    <t>x ̅</t>
  </si>
  <si>
    <t>R</t>
  </si>
  <si>
    <r>
      <t>x ̿</t>
    </r>
    <r>
      <rPr>
        <sz val="24"/>
        <color rgb="FFBDC2C6"/>
        <rFont val="Sakkal Majalla"/>
      </rPr>
      <t xml:space="preserve"> </t>
    </r>
  </si>
  <si>
    <t>R ̅</t>
  </si>
  <si>
    <t>UCL (X-bar)</t>
  </si>
  <si>
    <t>LCL (X-bar)</t>
  </si>
  <si>
    <t>UCL (R)</t>
  </si>
  <si>
    <t>LCL (R)</t>
  </si>
  <si>
    <t>n=</t>
  </si>
  <si>
    <t>Subgroup Size (n)</t>
  </si>
  <si>
    <t>X-Bar</t>
  </si>
  <si>
    <t>S</t>
  </si>
  <si>
    <t>k=</t>
  </si>
  <si>
    <t>﻿A2</t>
  </si>
  <si>
    <t>A3</t>
  </si>
  <si>
    <t>B3</t>
  </si>
  <si>
    <t>B4</t>
  </si>
  <si>
    <t>D3</t>
  </si>
  <si>
    <t>D4</t>
  </si>
  <si>
    <t>﻿2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</si>
  <si>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</si>
  <si>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</si>
  <si>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</si>
  <si>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</si>
  <si>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</si>
  <si>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</si>
  <si>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</si>
  <si>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</si>
  <si>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</si>
  <si>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</si>
  <si>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</si>
  <si>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</si>
  <si>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 ̅</t>
  </si>
  <si>
    <t>UCL (S)</t>
  </si>
  <si>
    <t>LCL (S)</t>
  </si>
  <si>
    <t>n</t>
  </si>
  <si>
    <t>pn</t>
  </si>
  <si>
    <t>p (%)</t>
  </si>
  <si>
    <t>p ̅</t>
  </si>
  <si>
    <t>UCL (%)</t>
  </si>
  <si>
    <t>LCL (%)</t>
  </si>
  <si>
    <t>p ̅n</t>
  </si>
  <si>
    <t>Sub-group Sub-group</t>
  </si>
  <si>
    <t>umber o defectives</t>
  </si>
  <si>
    <t>ub-group No.</t>
  </si>
  <si>
    <t>ub-group size</t>
  </si>
  <si>
    <t>Number o defectives</t>
  </si>
  <si>
    <t>size</t>
  </si>
  <si>
    <r>
      <t xml:space="preserve">subgroup size </t>
    </r>
    <r>
      <rPr>
        <i/>
        <sz val="12"/>
        <color rgb="FF0070C0"/>
        <rFont val="Calibri"/>
        <family val="2"/>
        <scheme val="minor"/>
      </rPr>
      <t>n</t>
    </r>
  </si>
  <si>
    <r>
      <t xml:space="preserve">No. of pinholes </t>
    </r>
    <r>
      <rPr>
        <i/>
        <sz val="12"/>
        <color rgb="FF0070C0"/>
        <rFont val="Calibri"/>
        <family val="2"/>
        <scheme val="minor"/>
      </rPr>
      <t>c</t>
    </r>
  </si>
  <si>
    <r>
      <t xml:space="preserve">pinholes per unit </t>
    </r>
    <r>
      <rPr>
        <i/>
        <sz val="12"/>
        <color rgb="FF0070C0"/>
        <rFont val="Calibri"/>
        <family val="2"/>
        <scheme val="minor"/>
      </rPr>
      <t>u</t>
    </r>
  </si>
  <si>
    <t>u ̅</t>
  </si>
  <si>
    <t xml:space="preserve">UCL </t>
  </si>
  <si>
    <t>LCL</t>
  </si>
  <si>
    <t>sample size (1m)</t>
  </si>
  <si>
    <r>
      <t xml:space="preserve">No. of defects </t>
    </r>
    <r>
      <rPr>
        <i/>
        <sz val="12"/>
        <color rgb="FF0070C0"/>
        <rFont val="Calibri"/>
        <family val="2"/>
        <scheme val="minor"/>
      </rPr>
      <t>c</t>
    </r>
  </si>
  <si>
    <t>c ̅</t>
  </si>
  <si>
    <t>UCL</t>
  </si>
  <si>
    <t>Number</t>
  </si>
  <si>
    <t xml:space="preserve">The Speed </t>
  </si>
  <si>
    <t>Length (mm)</t>
  </si>
  <si>
    <t>B&amp;C</t>
  </si>
  <si>
    <t>Repeat x</t>
  </si>
  <si>
    <t>Repeat y</t>
  </si>
  <si>
    <t>Size</t>
  </si>
  <si>
    <t>Mean</t>
  </si>
  <si>
    <t>Standard Deviation</t>
  </si>
  <si>
    <t>USL</t>
  </si>
  <si>
    <t>LSL</t>
  </si>
  <si>
    <t>Specification Limits</t>
  </si>
  <si>
    <t>Above USL</t>
  </si>
  <si>
    <t>Below LSL</t>
  </si>
  <si>
    <t>Within Specification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</si>
</sst>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24"/>
      <color rgb="FFBDC2C6"/>
      <name val="Sakkal Majalla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3" fillId="0" borderId="0"/>
    <xf numFmtId="9" fontId="7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Continuous"/>
    </xf>
    <xf numFmtId="0" fontId="2" fillId="0" borderId="0" xfId="0" applyFont="1"/>
    <xf numFmtId="0" fontId="4" fillId="2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 wrapText="1"/>
    </xf>
    <xf numFmtId="0" fontId="3" fillId="0" borderId="0" xfId="1" applyAlignment="1">
      <alignment horizontal="right"/>
    </xf>
    <xf numFmtId="0" fontId="3" fillId="0" borderId="0" xfId="1" applyAlignment="1">
      <alignment horizontal="left"/>
    </xf>
    <xf numFmtId="0" fontId="3" fillId="0" borderId="0" xfId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3" fillId="0" borderId="6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top" wrapText="1"/>
    </xf>
    <xf numFmtId="0" fontId="4" fillId="2" borderId="8" xfId="1" applyFont="1" applyFill="1" applyBorder="1" applyAlignment="1">
      <alignment horizontal="center" vertical="top" wrapText="1"/>
    </xf>
    <xf numFmtId="164" fontId="3" fillId="0" borderId="0" xfId="1" applyNumberFormat="1" applyAlignment="1">
      <alignment horizontal="center"/>
    </xf>
    <xf numFmtId="165" fontId="3" fillId="0" borderId="0" xfId="1" applyNumberFormat="1" applyAlignment="1">
      <alignment horizont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/>
    </xf>
    <xf numFmtId="166" fontId="3" fillId="0" borderId="0" xfId="2" applyNumberFormat="1" applyFont="1" applyAlignment="1">
      <alignment horizontal="center"/>
    </xf>
    <xf numFmtId="2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1" fontId="3" fillId="0" borderId="0" xfId="1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0" fillId="0" borderId="0" xfId="0" applyFont="1" applyAlignment="1">
      <alignment wrapText="1"/>
    </xf>
    <xf numFmtId="0" fontId="10" fillId="0" borderId="0" xfId="0" applyFont="1"/>
    <xf numFmtId="2" fontId="3" fillId="0" borderId="0" xfId="0" applyNumberFormat="1" applyFont="1" applyAlignment="1">
      <alignment horizontal="center"/>
    </xf>
    <xf numFmtId="0" fontId="4" fillId="2" borderId="10" xfId="1" applyFont="1" applyFill="1" applyBorder="1" applyAlignment="1">
      <alignment horizontal="center" vertical="top" wrapText="1"/>
    </xf>
    <xf numFmtId="0" fontId="4" fillId="2" borderId="9" xfId="1" applyFont="1" applyFill="1" applyBorder="1" applyAlignment="1">
      <alignment horizontal="center" vertical="top" wrapText="1"/>
    </xf>
    <xf numFmtId="0" fontId="4" fillId="2" borderId="11" xfId="1" applyFont="1" applyFill="1" applyBorder="1" applyAlignment="1">
      <alignment horizontal="center" vertical="top" wrapText="1"/>
    </xf>
    <xf numFmtId="2" fontId="4" fillId="2" borderId="12" xfId="2" applyNumberFormat="1" applyFont="1" applyFill="1" applyBorder="1" applyAlignment="1">
      <alignment horizontal="center"/>
    </xf>
    <xf numFmtId="2" fontId="4" fillId="2" borderId="0" xfId="2" applyNumberFormat="1" applyFont="1" applyFill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6" borderId="6" xfId="0" applyFill="1" applyBorder="1" applyAlignment="1">
      <alignment horizontal="center"/>
    </xf>
    <xf numFmtId="166" fontId="12" fillId="5" borderId="6" xfId="2" applyNumberFormat="1" applyFont="1" applyFill="1" applyBorder="1" applyAlignment="1">
      <alignment horizontal="center"/>
    </xf>
    <xf numFmtId="166" fontId="11" fillId="4" borderId="6" xfId="3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</cellXfs>
  <cellStyles count="4">
    <cellStyle name="Good" xfId="3" builtinId="26"/>
    <cellStyle name="Normal" xfId="0" builtinId="0"/>
    <cellStyle name="Normal 2" xfId="1" xr:uid="{C0F417E1-035C-46A6-94D6-F86D5DD9EF78}"/>
    <cellStyle name="Percent" xfId="2" builtinId="5"/>
  </cellStyles>
  <dxfs count="16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" formatCode="0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none"/>
      </font>
      <numFmt numFmtId="167" formatCode="hh:mm"/>
      <fill>
        <patternFill patternType="solid">
          <fgColor rgb="FF000000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0.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none"/>
      </font>
      <numFmt numFmtId="167" formatCode="hh:mm"/>
      <fill>
        <patternFill patternType="solid">
          <fgColor rgb="FF000000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0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0" formatCode="General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0" formatCode="General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0" formatCode="General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none"/>
      </font>
      <numFmt numFmtId="167" formatCode="hh:mm"/>
      <fill>
        <patternFill patternType="solid">
          <fgColor rgb="FF000000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6" formatCode="0.0%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6" formatCode="0.0%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none"/>
      </font>
      <numFmt numFmtId="167" formatCode="hh:mm"/>
      <fill>
        <patternFill patternType="solid">
          <fgColor rgb="FF000000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rgb="FFDEE2E6"/>
        </top>
        <bottom style="medium">
          <color rgb="FFDEE2E6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5" formatCode="0.0"/>
    </dxf>
    <dxf>
      <numFmt numFmtId="164" formatCode="0.000"/>
      <alignment horizontal="center" vertical="bottom" textRotation="0" wrapText="0" indent="0" justifyLastLine="0" shrinkToFit="0" readingOrder="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none"/>
      </font>
      <numFmt numFmtId="167" formatCode="hh:mm"/>
      <fill>
        <patternFill patternType="solid">
          <fgColor rgb="FF000000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2" formatCode="0.0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EE2E6"/>
        </left>
        <right/>
        <top style="medium">
          <color rgb="FFDEE2E6"/>
        </top>
        <bottom style="medium">
          <color rgb="FFDEE2E6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left style="medium">
          <color rgb="FFDEE2E6"/>
        </left>
        <top style="medium">
          <color rgb="FFDEE2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</dxf>
    <dxf>
      <border outline="0"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Calibri"/>
        <family val="2"/>
        <scheme val="minor"/>
      </font>
      <numFmt numFmtId="167" formatCode="hh:mm"/>
      <fill>
        <patternFill patternType="solid">
          <fgColor indexed="64"/>
          <bgColor rgb="FFFAFA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E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'5-Graphs - A) Line Graph'!$C$3</c:f>
              <c:strCache>
                <c:ptCount val="1"/>
                <c:pt idx="0">
                  <c:v>Group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'5-Graphs - A) Line Graph'!$B$4:$B$15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'5-Graphs - A) Line Graph'!$C$4:$C$15</c:f>
              <c:numCache>
                <c:formatCode>General</c:formatCode>
                <c:ptCount val="12"/>
                <c:pt idx="0">
                  <c:v>1235</c:v>
                </c:pt>
                <c:pt idx="1">
                  <c:v>1219</c:v>
                </c:pt>
                <c:pt idx="2">
                  <c:v>1014</c:v>
                </c:pt>
                <c:pt idx="3">
                  <c:v>1421</c:v>
                </c:pt>
                <c:pt idx="4">
                  <c:v>1399</c:v>
                </c:pt>
                <c:pt idx="5">
                  <c:v>1099</c:v>
                </c:pt>
                <c:pt idx="6">
                  <c:v>1260</c:v>
                </c:pt>
                <c:pt idx="7">
                  <c:v>1056</c:v>
                </c:pt>
                <c:pt idx="8">
                  <c:v>1470</c:v>
                </c:pt>
                <c:pt idx="9">
                  <c:v>1481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F-4292-8401-0F9E0D8B36EA}"/>
            </c:ext>
          </c:extLst>
        </c:ser>
        <c:ser>
          <c:idx val="2"/>
          <c:order val="1"/>
          <c:tx>
            <c:strRef>
              <c:f>'5-Graphs - A) Line Graph'!$D$3</c:f>
              <c:strCache>
                <c:ptCount val="1"/>
                <c:pt idx="0">
                  <c:v>Group 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'5-Graphs - A) Line Graph'!$B$4:$B$15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'5-Graphs - A) Line Graph'!$D$4:$D$15</c:f>
              <c:numCache>
                <c:formatCode>General</c:formatCode>
                <c:ptCount val="12"/>
                <c:pt idx="0">
                  <c:v>1456</c:v>
                </c:pt>
                <c:pt idx="1">
                  <c:v>1659</c:v>
                </c:pt>
                <c:pt idx="2">
                  <c:v>1767</c:v>
                </c:pt>
                <c:pt idx="3">
                  <c:v>1700</c:v>
                </c:pt>
                <c:pt idx="4">
                  <c:v>1651</c:v>
                </c:pt>
                <c:pt idx="5">
                  <c:v>1632</c:v>
                </c:pt>
                <c:pt idx="6">
                  <c:v>1707</c:v>
                </c:pt>
                <c:pt idx="7">
                  <c:v>1474</c:v>
                </c:pt>
                <c:pt idx="8">
                  <c:v>1365</c:v>
                </c:pt>
                <c:pt idx="9">
                  <c:v>1668</c:v>
                </c:pt>
                <c:pt idx="10">
                  <c:v>1400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0F-4292-8401-0F9E0D8B36EA}"/>
            </c:ext>
          </c:extLst>
        </c:ser>
        <c:ser>
          <c:idx val="0"/>
          <c:order val="2"/>
          <c:tx>
            <c:strRef>
              <c:f>'5-Graphs - A) Line Graph'!$E$3</c:f>
              <c:strCache>
                <c:ptCount val="1"/>
                <c:pt idx="0">
                  <c:v>Group (c)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'5-Graphs - A) Line Graph'!$B$4:$B$15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'5-Graphs - A) Line Graph'!$E$4:$E$15</c:f>
              <c:numCache>
                <c:formatCode>General</c:formatCode>
                <c:ptCount val="12"/>
                <c:pt idx="0">
                  <c:v>1456</c:v>
                </c:pt>
                <c:pt idx="1">
                  <c:v>1659</c:v>
                </c:pt>
                <c:pt idx="2">
                  <c:v>1767</c:v>
                </c:pt>
                <c:pt idx="3">
                  <c:v>1700</c:v>
                </c:pt>
                <c:pt idx="4">
                  <c:v>1651</c:v>
                </c:pt>
                <c:pt idx="5">
                  <c:v>1632</c:v>
                </c:pt>
                <c:pt idx="6">
                  <c:v>1707</c:v>
                </c:pt>
                <c:pt idx="7">
                  <c:v>1474</c:v>
                </c:pt>
                <c:pt idx="8">
                  <c:v>1365</c:v>
                </c:pt>
                <c:pt idx="9">
                  <c:v>1668</c:v>
                </c:pt>
                <c:pt idx="10">
                  <c:v>1400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6-4903-B68B-D90C435EA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41071"/>
        <c:axId val="865158975"/>
      </c:lineChart>
      <c:catAx>
        <c:axId val="871941071"/>
        <c:scaling>
          <c:orientation val="minMax"/>
        </c:scaling>
        <c:delete val="0"/>
        <c:axPos val="b"/>
        <c:title>
          <c:tx>
            <c:strRef>
              <c:f>Table3[[#Headers],[Day]]</c:f>
              <c:strCache>
                <c:ptCount val="1"/>
                <c:pt idx="0">
                  <c:v>Day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rgbClr val="0070C0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58975"/>
        <c:crosses val="autoZero"/>
        <c:auto val="1"/>
        <c:lblAlgn val="ctr"/>
        <c:lblOffset val="100"/>
        <c:noMultiLvlLbl val="0"/>
      </c:catAx>
      <c:valAx>
        <c:axId val="865158975"/>
        <c:scaling>
          <c:orientation val="minMax"/>
        </c:scaling>
        <c:delete val="0"/>
        <c:axPos val="l"/>
        <c:title>
          <c:tx>
            <c:strRef>
              <c:f>'5-Graphs - A) Line Graph'!$C$2</c:f>
              <c:strCache>
                <c:ptCount val="1"/>
                <c:pt idx="0">
                  <c:v>Production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>
            <a:solidFill>
              <a:srgbClr val="0070C0"/>
            </a:solidFill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'5-Graphs - B) Bar Graphs'!$C$3</c:f>
              <c:strCache>
                <c:ptCount val="1"/>
                <c:pt idx="0">
                  <c:v>Group (A)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'5-Graphs - B) Bar Graphs'!$B$4:$B$25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'5-Graphs - B) Bar Graphs'!$C$4:$C$25</c:f>
              <c:numCache>
                <c:formatCode>General</c:formatCode>
                <c:ptCount val="22"/>
                <c:pt idx="0">
                  <c:v>1235</c:v>
                </c:pt>
                <c:pt idx="1">
                  <c:v>1219</c:v>
                </c:pt>
                <c:pt idx="2">
                  <c:v>1014</c:v>
                </c:pt>
                <c:pt idx="3">
                  <c:v>1421</c:v>
                </c:pt>
                <c:pt idx="4">
                  <c:v>1399</c:v>
                </c:pt>
                <c:pt idx="5">
                  <c:v>1099</c:v>
                </c:pt>
                <c:pt idx="6">
                  <c:v>1260</c:v>
                </c:pt>
                <c:pt idx="7">
                  <c:v>1056</c:v>
                </c:pt>
                <c:pt idx="8">
                  <c:v>1470</c:v>
                </c:pt>
                <c:pt idx="9">
                  <c:v>1481</c:v>
                </c:pt>
                <c:pt idx="10">
                  <c:v>1399</c:v>
                </c:pt>
                <c:pt idx="11">
                  <c:v>1099</c:v>
                </c:pt>
                <c:pt idx="12">
                  <c:v>1260</c:v>
                </c:pt>
                <c:pt idx="13">
                  <c:v>1056</c:v>
                </c:pt>
                <c:pt idx="14">
                  <c:v>1056</c:v>
                </c:pt>
                <c:pt idx="15">
                  <c:v>1056</c:v>
                </c:pt>
                <c:pt idx="16">
                  <c:v>1056</c:v>
                </c:pt>
                <c:pt idx="17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9-4926-85EA-B311D752A5AB}"/>
            </c:ext>
          </c:extLst>
        </c:ser>
        <c:ser>
          <c:idx val="2"/>
          <c:order val="1"/>
          <c:tx>
            <c:strRef>
              <c:f>'5-Graphs - B) Bar Graphs'!$D$3</c:f>
              <c:strCache>
                <c:ptCount val="1"/>
                <c:pt idx="0">
                  <c:v>Group (B)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'5-Graphs - B) Bar Graphs'!$B$4:$B$25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'5-Graphs - B) Bar Graphs'!$D$4:$D$25</c:f>
              <c:numCache>
                <c:formatCode>General</c:formatCode>
                <c:ptCount val="22"/>
                <c:pt idx="0">
                  <c:v>1456</c:v>
                </c:pt>
                <c:pt idx="1">
                  <c:v>1659</c:v>
                </c:pt>
                <c:pt idx="2">
                  <c:v>1767</c:v>
                </c:pt>
                <c:pt idx="3">
                  <c:v>1700</c:v>
                </c:pt>
                <c:pt idx="4">
                  <c:v>1651</c:v>
                </c:pt>
                <c:pt idx="5">
                  <c:v>1632</c:v>
                </c:pt>
                <c:pt idx="6">
                  <c:v>1707</c:v>
                </c:pt>
                <c:pt idx="7">
                  <c:v>1474</c:v>
                </c:pt>
                <c:pt idx="8">
                  <c:v>1365</c:v>
                </c:pt>
                <c:pt idx="9">
                  <c:v>1668</c:v>
                </c:pt>
                <c:pt idx="10">
                  <c:v>1659</c:v>
                </c:pt>
                <c:pt idx="11">
                  <c:v>1767</c:v>
                </c:pt>
                <c:pt idx="12">
                  <c:v>1700</c:v>
                </c:pt>
                <c:pt idx="13">
                  <c:v>1651</c:v>
                </c:pt>
                <c:pt idx="14">
                  <c:v>1651</c:v>
                </c:pt>
                <c:pt idx="15">
                  <c:v>1651</c:v>
                </c:pt>
                <c:pt idx="16">
                  <c:v>1651</c:v>
                </c:pt>
                <c:pt idx="17">
                  <c:v>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9-4926-85EA-B311D752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1941071"/>
        <c:axId val="865158975"/>
      </c:barChart>
      <c:catAx>
        <c:axId val="871941071"/>
        <c:scaling>
          <c:orientation val="minMax"/>
        </c:scaling>
        <c:delete val="0"/>
        <c:axPos val="b"/>
        <c:title>
          <c:tx>
            <c:strRef>
              <c:f>'5-Graphs - B) Bar Graphs'!$B$3</c:f>
              <c:strCache>
                <c:ptCount val="1"/>
                <c:pt idx="0">
                  <c:v>Day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rgbClr val="0070C0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58975"/>
        <c:crosses val="autoZero"/>
        <c:auto val="1"/>
        <c:lblAlgn val="ctr"/>
        <c:lblOffset val="100"/>
        <c:noMultiLvlLbl val="0"/>
      </c:catAx>
      <c:valAx>
        <c:axId val="865158975"/>
        <c:scaling>
          <c:orientation val="minMax"/>
        </c:scaling>
        <c:delete val="0"/>
        <c:axPos val="l"/>
        <c:title>
          <c:tx>
            <c:strRef>
              <c:f>'5-Graphs - B) Bar Graphs'!$C$2</c:f>
              <c:strCache>
                <c:ptCount val="1"/>
                <c:pt idx="0">
                  <c:v>Production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>
            <a:solidFill>
              <a:srgbClr val="0070C0"/>
            </a:solidFill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'5-Graphs - C) Pie Graphs '!$B$2</c:f>
          <c:strCache>
            <c:ptCount val="1"/>
            <c:pt idx="0">
              <c:v>QC Circle Participants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'5-Graphs - C) Pie Graphs '!$C$3</c:f>
              <c:strCache>
                <c:ptCount val="1"/>
                <c:pt idx="0">
                  <c:v>Participants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9F4-4846-8C52-49BB227075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F4-4846-8C52-49BB227075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9F4-4846-8C52-49BB227075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F4-4846-8C52-49BB227075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19-41D0-99B6-E9792AF57352}"/>
              </c:ext>
            </c:extLst>
          </c:dPt>
          <c:dLbls>
            <c:dLbl>
              <c:idx val="0"/>
              <c:layout>
                <c:manualLayout>
                  <c:x val="0.125"/>
                  <c:y val="6.944444444444444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F4-4846-8C52-49BB22707517}"/>
                </c:ext>
              </c:extLst>
            </c:dLbl>
            <c:dLbl>
              <c:idx val="1"/>
              <c:layout>
                <c:manualLayout>
                  <c:x val="-7.5000000000000025E-2"/>
                  <c:y val="0.1064814814814814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F4-4846-8C52-49BB22707517}"/>
                </c:ext>
              </c:extLst>
            </c:dLbl>
            <c:dLbl>
              <c:idx val="2"/>
              <c:layout>
                <c:manualLayout>
                  <c:x val="-0.13055555555555559"/>
                  <c:y val="-4.166666666666666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F4-4846-8C52-49BB22707517}"/>
                </c:ext>
              </c:extLst>
            </c:dLbl>
            <c:dLbl>
              <c:idx val="3"/>
              <c:layout>
                <c:manualLayout>
                  <c:x val="-8.0603680802271344E-2"/>
                  <c:y val="-0.1232674188848693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F4-4846-8C52-49BB22707517}"/>
                </c:ext>
              </c:extLst>
            </c:dLbl>
            <c:dLbl>
              <c:idx val="4"/>
              <c:layout>
                <c:manualLayout>
                  <c:x val="3.548408589255049E-2"/>
                  <c:y val="-8.280463875498338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19-41D0-99B6-E9792AF57352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'5-Graphs - C) Pie Graphs '!$B$4:$B$8</c:f>
              <c:strCache>
                <c:ptCount val="5"/>
                <c:pt idx="0">
                  <c:v>Supervisors</c:v>
                </c:pt>
                <c:pt idx="1">
                  <c:v>Staff</c:v>
                </c:pt>
                <c:pt idx="2">
                  <c:v>Workers</c:v>
                </c:pt>
                <c:pt idx="3">
                  <c:v>Others</c:v>
                </c:pt>
                <c:pt idx="4">
                  <c:v>QC</c:v>
                </c:pt>
              </c:strCache>
            </c:strRef>
          </c:cat>
          <c:val>
            <c:numRef>
              <c:f>'5-Graphs - C) Pie Graphs '!$C$4:$C$8</c:f>
              <c:numCache>
                <c:formatCode>General</c:formatCode>
                <c:ptCount val="5"/>
                <c:pt idx="0">
                  <c:v>15</c:v>
                </c:pt>
                <c:pt idx="1">
                  <c:v>2</c:v>
                </c:pt>
                <c:pt idx="2">
                  <c:v>50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4-4846-8C52-49BB2270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'6-(A) SPC X-R'!$I$1</c:f>
              <c:strCache>
                <c:ptCount val="1"/>
                <c:pt idx="0">
                  <c:v>x ̿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X-R'!$I$2:$I$26</c:f>
              <c:numCache>
                <c:formatCode>General</c:formatCode>
                <c:ptCount val="25"/>
                <c:pt idx="0">
                  <c:v>12.94</c:v>
                </c:pt>
                <c:pt idx="1">
                  <c:v>12.94</c:v>
                </c:pt>
                <c:pt idx="2">
                  <c:v>12.94</c:v>
                </c:pt>
                <c:pt idx="3">
                  <c:v>12.94</c:v>
                </c:pt>
                <c:pt idx="4">
                  <c:v>12.94</c:v>
                </c:pt>
                <c:pt idx="5">
                  <c:v>12.94</c:v>
                </c:pt>
                <c:pt idx="6">
                  <c:v>12.94</c:v>
                </c:pt>
                <c:pt idx="7">
                  <c:v>12.94</c:v>
                </c:pt>
                <c:pt idx="8">
                  <c:v>12.94</c:v>
                </c:pt>
                <c:pt idx="9">
                  <c:v>12.94</c:v>
                </c:pt>
                <c:pt idx="10">
                  <c:v>12.94</c:v>
                </c:pt>
                <c:pt idx="11">
                  <c:v>12.94</c:v>
                </c:pt>
                <c:pt idx="12">
                  <c:v>12.94</c:v>
                </c:pt>
                <c:pt idx="13">
                  <c:v>12.94</c:v>
                </c:pt>
                <c:pt idx="14">
                  <c:v>12.94</c:v>
                </c:pt>
                <c:pt idx="15">
                  <c:v>12.94</c:v>
                </c:pt>
                <c:pt idx="16">
                  <c:v>12.94</c:v>
                </c:pt>
                <c:pt idx="17">
                  <c:v>12.94</c:v>
                </c:pt>
                <c:pt idx="18">
                  <c:v>12.94</c:v>
                </c:pt>
                <c:pt idx="19">
                  <c:v>12.94</c:v>
                </c:pt>
                <c:pt idx="20">
                  <c:v>12.94</c:v>
                </c:pt>
                <c:pt idx="21">
                  <c:v>12.94</c:v>
                </c:pt>
                <c:pt idx="22">
                  <c:v>12.94</c:v>
                </c:pt>
                <c:pt idx="23">
                  <c:v>12.94</c:v>
                </c:pt>
                <c:pt idx="24">
                  <c:v>12.94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2-40AB-82F6-93D873D655E2}"/>
            </c:ext>
          </c:extLst>
        </c:ser>
        <c:ser>
          <c:idx val="2"/>
          <c:order val="1"/>
          <c:tx>
            <c:strRef>
              <c:f>'6-(A) SPC X-R'!$K$1</c:f>
              <c:strCache>
                <c:ptCount val="1"/>
                <c:pt idx="0">
                  <c:v>UCL (X-bar)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X-R'!$K$2:$K$26</c:f>
              <c:numCache>
                <c:formatCode>0.00</c:formatCode>
                <c:ptCount val="25"/>
                <c:pt idx="0">
                  <c:v>13.720103999999999</c:v>
                </c:pt>
                <c:pt idx="1">
                  <c:v>13.720103999999999</c:v>
                </c:pt>
                <c:pt idx="2">
                  <c:v>13.720103999999999</c:v>
                </c:pt>
                <c:pt idx="3">
                  <c:v>13.720103999999999</c:v>
                </c:pt>
                <c:pt idx="4">
                  <c:v>13.720103999999999</c:v>
                </c:pt>
                <c:pt idx="5">
                  <c:v>13.720103999999999</c:v>
                </c:pt>
                <c:pt idx="6">
                  <c:v>13.720103999999999</c:v>
                </c:pt>
                <c:pt idx="7">
                  <c:v>13.720103999999999</c:v>
                </c:pt>
                <c:pt idx="8">
                  <c:v>13.720103999999999</c:v>
                </c:pt>
                <c:pt idx="9">
                  <c:v>13.720103999999999</c:v>
                </c:pt>
                <c:pt idx="10">
                  <c:v>13.720103999999999</c:v>
                </c:pt>
                <c:pt idx="11">
                  <c:v>13.720103999999999</c:v>
                </c:pt>
                <c:pt idx="12">
                  <c:v>13.720103999999999</c:v>
                </c:pt>
                <c:pt idx="13">
                  <c:v>13.720103999999999</c:v>
                </c:pt>
                <c:pt idx="14">
                  <c:v>13.720103999999999</c:v>
                </c:pt>
                <c:pt idx="15">
                  <c:v>13.720103999999999</c:v>
                </c:pt>
                <c:pt idx="16">
                  <c:v>13.720103999999999</c:v>
                </c:pt>
                <c:pt idx="17">
                  <c:v>13.720103999999999</c:v>
                </c:pt>
                <c:pt idx="18">
                  <c:v>13.720103999999999</c:v>
                </c:pt>
                <c:pt idx="19">
                  <c:v>13.720103999999999</c:v>
                </c:pt>
                <c:pt idx="20">
                  <c:v>13.720103999999999</c:v>
                </c:pt>
                <c:pt idx="21">
                  <c:v>13.720103999999999</c:v>
                </c:pt>
                <c:pt idx="22">
                  <c:v>13.720103999999999</c:v>
                </c:pt>
                <c:pt idx="23">
                  <c:v>13.720103999999999</c:v>
                </c:pt>
                <c:pt idx="24">
                  <c:v>13.720103999999999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2-40AB-82F6-93D873D655E2}"/>
            </c:ext>
          </c:extLst>
        </c:ser>
        <c:ser>
          <c:idx val="3"/>
          <c:order val="2"/>
          <c:tx>
            <c:strRef>
              <c:f>'6-(A) SPC X-R'!$L$1</c:f>
              <c:strCache>
                <c:ptCount val="1"/>
                <c:pt idx="0">
                  <c:v>LCL (X-bar)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X-R'!$L$2:$L$26</c:f>
              <c:numCache>
                <c:formatCode>0.00</c:formatCode>
                <c:ptCount val="25"/>
                <c:pt idx="0">
                  <c:v>12.159896</c:v>
                </c:pt>
                <c:pt idx="1">
                  <c:v>12.159896</c:v>
                </c:pt>
                <c:pt idx="2">
                  <c:v>12.159896</c:v>
                </c:pt>
                <c:pt idx="3">
                  <c:v>12.159896</c:v>
                </c:pt>
                <c:pt idx="4">
                  <c:v>12.159896</c:v>
                </c:pt>
                <c:pt idx="5">
                  <c:v>12.159896</c:v>
                </c:pt>
                <c:pt idx="6">
                  <c:v>12.159896</c:v>
                </c:pt>
                <c:pt idx="7">
                  <c:v>12.159896</c:v>
                </c:pt>
                <c:pt idx="8">
                  <c:v>12.159896</c:v>
                </c:pt>
                <c:pt idx="9">
                  <c:v>12.159896</c:v>
                </c:pt>
                <c:pt idx="10">
                  <c:v>12.159896</c:v>
                </c:pt>
                <c:pt idx="11">
                  <c:v>12.159896</c:v>
                </c:pt>
                <c:pt idx="12">
                  <c:v>12.159896</c:v>
                </c:pt>
                <c:pt idx="13">
                  <c:v>12.159896</c:v>
                </c:pt>
                <c:pt idx="14">
                  <c:v>12.159896</c:v>
                </c:pt>
                <c:pt idx="15">
                  <c:v>12.159896</c:v>
                </c:pt>
                <c:pt idx="16">
                  <c:v>12.159896</c:v>
                </c:pt>
                <c:pt idx="17">
                  <c:v>12.159896</c:v>
                </c:pt>
                <c:pt idx="18">
                  <c:v>12.159896</c:v>
                </c:pt>
                <c:pt idx="19">
                  <c:v>12.159896</c:v>
                </c:pt>
                <c:pt idx="20">
                  <c:v>12.159896</c:v>
                </c:pt>
                <c:pt idx="21">
                  <c:v>12.159896</c:v>
                </c:pt>
                <c:pt idx="22">
                  <c:v>12.159896</c:v>
                </c:pt>
                <c:pt idx="23">
                  <c:v>12.159896</c:v>
                </c:pt>
                <c:pt idx="24">
                  <c:v>12.159896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2-40AB-82F6-93D873D655E2}"/>
            </c:ext>
          </c:extLst>
        </c:ser>
        <c:ser>
          <c:idx val="0"/>
          <c:order val="3"/>
          <c:tx>
            <c:strRef>
              <c:f>'6-(A) SPC X-R'!$G$1</c:f>
              <c:strCache>
                <c:ptCount val="1"/>
                <c:pt idx="0">
                  <c:v>x ̅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X-R'!$G$2:$G$26</c:f>
              <c:numCache>
                <c:formatCode>General</c:formatCode>
                <c:ptCount val="25"/>
                <c:pt idx="0">
                  <c:v>13</c:v>
                </c:pt>
                <c:pt idx="1">
                  <c:v>12.940000000000001</c:v>
                </c:pt>
                <c:pt idx="2">
                  <c:v>12.9</c:v>
                </c:pt>
                <c:pt idx="3">
                  <c:v>13.180000000000001</c:v>
                </c:pt>
                <c:pt idx="4">
                  <c:v>12.719999999999999</c:v>
                </c:pt>
                <c:pt idx="5">
                  <c:v>12.6</c:v>
                </c:pt>
                <c:pt idx="6">
                  <c:v>13.02</c:v>
                </c:pt>
                <c:pt idx="7">
                  <c:v>13.180000000000001</c:v>
                </c:pt>
                <c:pt idx="8">
                  <c:v>12.78</c:v>
                </c:pt>
                <c:pt idx="9">
                  <c:v>12.8</c:v>
                </c:pt>
                <c:pt idx="10">
                  <c:v>13.040000000000001</c:v>
                </c:pt>
                <c:pt idx="11">
                  <c:v>13.14</c:v>
                </c:pt>
                <c:pt idx="12">
                  <c:v>12.959999999999999</c:v>
                </c:pt>
                <c:pt idx="13">
                  <c:v>13.180000000000001</c:v>
                </c:pt>
                <c:pt idx="14">
                  <c:v>13.039999999999997</c:v>
                </c:pt>
                <c:pt idx="15">
                  <c:v>12.66</c:v>
                </c:pt>
                <c:pt idx="16">
                  <c:v>13.12</c:v>
                </c:pt>
                <c:pt idx="17">
                  <c:v>12.919999999999998</c:v>
                </c:pt>
                <c:pt idx="18">
                  <c:v>13.279999999999998</c:v>
                </c:pt>
                <c:pt idx="19">
                  <c:v>13.139999999999997</c:v>
                </c:pt>
                <c:pt idx="20">
                  <c:v>12.820000000000002</c:v>
                </c:pt>
                <c:pt idx="21">
                  <c:v>12.84</c:v>
                </c:pt>
                <c:pt idx="22">
                  <c:v>12.780000000000001</c:v>
                </c:pt>
                <c:pt idx="23">
                  <c:v>12.739999999999998</c:v>
                </c:pt>
                <c:pt idx="24">
                  <c:v>12.720000000000002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12-40AB-82F6-93D873D65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'6-(A) SPC X-R'!$J$1</c:f>
              <c:strCache>
                <c:ptCount val="1"/>
                <c:pt idx="0">
                  <c:v>R ̅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X-R'!$J$2:$J$26</c:f>
              <c:numCache>
                <c:formatCode>General</c:formatCode>
                <c:ptCount val="25"/>
                <c:pt idx="0">
                  <c:v>1.3520000000000001</c:v>
                </c:pt>
                <c:pt idx="1">
                  <c:v>1.3520000000000001</c:v>
                </c:pt>
                <c:pt idx="2">
                  <c:v>1.3520000000000001</c:v>
                </c:pt>
                <c:pt idx="3">
                  <c:v>1.3520000000000001</c:v>
                </c:pt>
                <c:pt idx="4">
                  <c:v>1.3520000000000001</c:v>
                </c:pt>
                <c:pt idx="5">
                  <c:v>1.3520000000000001</c:v>
                </c:pt>
                <c:pt idx="6">
                  <c:v>1.3520000000000001</c:v>
                </c:pt>
                <c:pt idx="7">
                  <c:v>1.3520000000000001</c:v>
                </c:pt>
                <c:pt idx="8">
                  <c:v>1.3520000000000001</c:v>
                </c:pt>
                <c:pt idx="9">
                  <c:v>1.3520000000000001</c:v>
                </c:pt>
                <c:pt idx="10">
                  <c:v>1.3520000000000001</c:v>
                </c:pt>
                <c:pt idx="11">
                  <c:v>1.3520000000000001</c:v>
                </c:pt>
                <c:pt idx="12">
                  <c:v>1.3520000000000001</c:v>
                </c:pt>
                <c:pt idx="13">
                  <c:v>1.3520000000000001</c:v>
                </c:pt>
                <c:pt idx="14">
                  <c:v>1.3520000000000001</c:v>
                </c:pt>
                <c:pt idx="15">
                  <c:v>1.3520000000000001</c:v>
                </c:pt>
                <c:pt idx="16">
                  <c:v>1.3520000000000001</c:v>
                </c:pt>
                <c:pt idx="17">
                  <c:v>1.3520000000000001</c:v>
                </c:pt>
                <c:pt idx="18">
                  <c:v>1.3520000000000001</c:v>
                </c:pt>
                <c:pt idx="19">
                  <c:v>1.3520000000000001</c:v>
                </c:pt>
                <c:pt idx="20">
                  <c:v>1.3520000000000001</c:v>
                </c:pt>
                <c:pt idx="21">
                  <c:v>1.3520000000000001</c:v>
                </c:pt>
                <c:pt idx="22">
                  <c:v>1.3520000000000001</c:v>
                </c:pt>
                <c:pt idx="23">
                  <c:v>1.3520000000000001</c:v>
                </c:pt>
                <c:pt idx="24">
                  <c:v>1.3520000000000001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1-4D25-8492-647D50B40A51}"/>
            </c:ext>
          </c:extLst>
        </c:ser>
        <c:ser>
          <c:idx val="2"/>
          <c:order val="1"/>
          <c:tx>
            <c:strRef>
              <c:f>'6-(A) SPC X-R'!$M$1</c:f>
              <c:strCache>
                <c:ptCount val="1"/>
                <c:pt idx="0">
                  <c:v>UCL (R)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X-R'!$M$2:$M$26</c:f>
              <c:numCache>
                <c:formatCode>0.00</c:formatCode>
                <c:ptCount val="25"/>
                <c:pt idx="0">
                  <c:v>2.8581280000000002</c:v>
                </c:pt>
                <c:pt idx="1">
                  <c:v>2.8581280000000002</c:v>
                </c:pt>
                <c:pt idx="2">
                  <c:v>2.8581280000000002</c:v>
                </c:pt>
                <c:pt idx="3">
                  <c:v>2.8581280000000002</c:v>
                </c:pt>
                <c:pt idx="4">
                  <c:v>2.8581280000000002</c:v>
                </c:pt>
                <c:pt idx="5">
                  <c:v>2.8581280000000002</c:v>
                </c:pt>
                <c:pt idx="6">
                  <c:v>2.8581280000000002</c:v>
                </c:pt>
                <c:pt idx="7">
                  <c:v>2.8581280000000002</c:v>
                </c:pt>
                <c:pt idx="8">
                  <c:v>2.8581280000000002</c:v>
                </c:pt>
                <c:pt idx="9">
                  <c:v>2.8581280000000002</c:v>
                </c:pt>
                <c:pt idx="10">
                  <c:v>2.8581280000000002</c:v>
                </c:pt>
                <c:pt idx="11">
                  <c:v>2.8581280000000002</c:v>
                </c:pt>
                <c:pt idx="12">
                  <c:v>2.8581280000000002</c:v>
                </c:pt>
                <c:pt idx="13">
                  <c:v>2.8581280000000002</c:v>
                </c:pt>
                <c:pt idx="14">
                  <c:v>2.8581280000000002</c:v>
                </c:pt>
                <c:pt idx="15">
                  <c:v>2.8581280000000002</c:v>
                </c:pt>
                <c:pt idx="16">
                  <c:v>2.8581280000000002</c:v>
                </c:pt>
                <c:pt idx="17">
                  <c:v>2.8581280000000002</c:v>
                </c:pt>
                <c:pt idx="18">
                  <c:v>2.8581280000000002</c:v>
                </c:pt>
                <c:pt idx="19">
                  <c:v>2.8581280000000002</c:v>
                </c:pt>
                <c:pt idx="20">
                  <c:v>2.8581280000000002</c:v>
                </c:pt>
                <c:pt idx="21">
                  <c:v>2.8581280000000002</c:v>
                </c:pt>
                <c:pt idx="22">
                  <c:v>2.8581280000000002</c:v>
                </c:pt>
                <c:pt idx="23">
                  <c:v>2.8581280000000002</c:v>
                </c:pt>
                <c:pt idx="24">
                  <c:v>2.8581280000000002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1-4D25-8492-647D50B40A51}"/>
            </c:ext>
          </c:extLst>
        </c:ser>
        <c:ser>
          <c:idx val="3"/>
          <c:order val="2"/>
          <c:tx>
            <c:strRef>
              <c:f>'6-(A) SPC X-R'!$N$1</c:f>
              <c:strCache>
                <c:ptCount val="1"/>
                <c:pt idx="0">
                  <c:v>LCL (R)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X-R'!$N$2:$N$26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1-4D25-8492-647D50B40A51}"/>
            </c:ext>
          </c:extLst>
        </c:ser>
        <c:ser>
          <c:idx val="0"/>
          <c:order val="3"/>
          <c:tx>
            <c:strRef>
              <c:f>'6-(A) SPC X-R'!$H$1</c:f>
              <c:strCache>
                <c:ptCount val="1"/>
                <c:pt idx="0">
                  <c:v>R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'6-(A) SPC X-R'!$A$2:$A$26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X-R'!$H$2:$H$26</c:f>
              <c:numCache>
                <c:formatCode>General</c:formatCode>
                <c:ptCount val="25"/>
                <c:pt idx="0">
                  <c:v>1.9000000000000004</c:v>
                </c:pt>
                <c:pt idx="1">
                  <c:v>1.3000000000000007</c:v>
                </c:pt>
                <c:pt idx="2">
                  <c:v>1.0999999999999996</c:v>
                </c:pt>
                <c:pt idx="3">
                  <c:v>1.5</c:v>
                </c:pt>
                <c:pt idx="4">
                  <c:v>1.2000000000000011</c:v>
                </c:pt>
                <c:pt idx="5">
                  <c:v>1.6999999999999993</c:v>
                </c:pt>
                <c:pt idx="6">
                  <c:v>1.8000000000000007</c:v>
                </c:pt>
                <c:pt idx="7">
                  <c:v>1.1999999999999993</c:v>
                </c:pt>
                <c:pt idx="8">
                  <c:v>2.2000000000000011</c:v>
                </c:pt>
                <c:pt idx="9">
                  <c:v>0.90000000000000036</c:v>
                </c:pt>
                <c:pt idx="10">
                  <c:v>0.5</c:v>
                </c:pt>
                <c:pt idx="11">
                  <c:v>1.0999999999999996</c:v>
                </c:pt>
                <c:pt idx="12">
                  <c:v>1.4000000000000004</c:v>
                </c:pt>
                <c:pt idx="13">
                  <c:v>1.3000000000000007</c:v>
                </c:pt>
                <c:pt idx="14">
                  <c:v>1.6999999999999993</c:v>
                </c:pt>
                <c:pt idx="15">
                  <c:v>1.4000000000000004</c:v>
                </c:pt>
                <c:pt idx="16">
                  <c:v>1.5999999999999996</c:v>
                </c:pt>
                <c:pt idx="17">
                  <c:v>1.1999999999999993</c:v>
                </c:pt>
                <c:pt idx="18">
                  <c:v>2.4000000000000004</c:v>
                </c:pt>
                <c:pt idx="19">
                  <c:v>1.3000000000000007</c:v>
                </c:pt>
                <c:pt idx="20">
                  <c:v>0.70000000000000107</c:v>
                </c:pt>
                <c:pt idx="21">
                  <c:v>1.5</c:v>
                </c:pt>
                <c:pt idx="22">
                  <c:v>0.89999999999999858</c:v>
                </c:pt>
                <c:pt idx="23">
                  <c:v>0.89999999999999858</c:v>
                </c:pt>
                <c:pt idx="24">
                  <c:v>1.1000000000000014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21-4D25-8492-647D50B40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'6-(A) SPC X-S'!$P$1</c:f>
              <c:strCache>
                <c:ptCount val="1"/>
                <c:pt idx="0">
                  <c:v>x ̿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X-S'!$P$2:$P$26</c:f>
              <c:numCache>
                <c:formatCode>0.000</c:formatCode>
                <c:ptCount val="25"/>
                <c:pt idx="0">
                  <c:v>12.973999999999997</c:v>
                </c:pt>
                <c:pt idx="1">
                  <c:v>12.973999999999997</c:v>
                </c:pt>
                <c:pt idx="2">
                  <c:v>12.973999999999997</c:v>
                </c:pt>
                <c:pt idx="3">
                  <c:v>12.973999999999997</c:v>
                </c:pt>
                <c:pt idx="4">
                  <c:v>12.973999999999997</c:v>
                </c:pt>
                <c:pt idx="5">
                  <c:v>12.973999999999997</c:v>
                </c:pt>
                <c:pt idx="6">
                  <c:v>12.973999999999997</c:v>
                </c:pt>
                <c:pt idx="7">
                  <c:v>12.973999999999997</c:v>
                </c:pt>
                <c:pt idx="8">
                  <c:v>12.973999999999997</c:v>
                </c:pt>
                <c:pt idx="9">
                  <c:v>12.973999999999997</c:v>
                </c:pt>
                <c:pt idx="10">
                  <c:v>12.973999999999997</c:v>
                </c:pt>
                <c:pt idx="11">
                  <c:v>12.973999999999997</c:v>
                </c:pt>
                <c:pt idx="12">
                  <c:v>12.973999999999997</c:v>
                </c:pt>
                <c:pt idx="13">
                  <c:v>12.973999999999997</c:v>
                </c:pt>
                <c:pt idx="14">
                  <c:v>12.973999999999997</c:v>
                </c:pt>
                <c:pt idx="15">
                  <c:v>12.973999999999997</c:v>
                </c:pt>
                <c:pt idx="16">
                  <c:v>12.973999999999997</c:v>
                </c:pt>
                <c:pt idx="17">
                  <c:v>12.973999999999997</c:v>
                </c:pt>
                <c:pt idx="18">
                  <c:v>12.973999999999997</c:v>
                </c:pt>
                <c:pt idx="19">
                  <c:v>12.973999999999997</c:v>
                </c:pt>
                <c:pt idx="20">
                  <c:v>12.973999999999997</c:v>
                </c:pt>
                <c:pt idx="21">
                  <c:v>12.973999999999997</c:v>
                </c:pt>
                <c:pt idx="22">
                  <c:v>12.973999999999997</c:v>
                </c:pt>
                <c:pt idx="23">
                  <c:v>12.973999999999997</c:v>
                </c:pt>
                <c:pt idx="24">
                  <c:v>12.973999999999997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5-4177-8B98-FB7F7F4D8E76}"/>
            </c:ext>
          </c:extLst>
        </c:ser>
        <c:ser>
          <c:idx val="2"/>
          <c:order val="1"/>
          <c:tx>
            <c:strRef>
              <c:f>'6-(A) SPC X-S'!$R$1</c:f>
              <c:strCache>
                <c:ptCount val="1"/>
                <c:pt idx="0">
                  <c:v>UCL (X-bar)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X-S'!$R$2:$R$26</c:f>
              <c:numCache>
                <c:formatCode>0.00</c:formatCode>
                <c:ptCount val="25"/>
                <c:pt idx="0">
                  <c:v>13.692842172137127</c:v>
                </c:pt>
                <c:pt idx="1">
                  <c:v>13.692842172137127</c:v>
                </c:pt>
                <c:pt idx="2">
                  <c:v>13.692842172137127</c:v>
                </c:pt>
                <c:pt idx="3">
                  <c:v>13.692842172137127</c:v>
                </c:pt>
                <c:pt idx="4">
                  <c:v>13.692842172137127</c:v>
                </c:pt>
                <c:pt idx="5">
                  <c:v>13.692842172137127</c:v>
                </c:pt>
                <c:pt idx="6">
                  <c:v>13.692842172137127</c:v>
                </c:pt>
                <c:pt idx="7">
                  <c:v>13.692842172137127</c:v>
                </c:pt>
                <c:pt idx="8">
                  <c:v>13.692842172137127</c:v>
                </c:pt>
                <c:pt idx="9">
                  <c:v>13.692842172137127</c:v>
                </c:pt>
                <c:pt idx="10">
                  <c:v>13.692842172137127</c:v>
                </c:pt>
                <c:pt idx="11">
                  <c:v>13.692842172137127</c:v>
                </c:pt>
                <c:pt idx="12">
                  <c:v>13.692842172137127</c:v>
                </c:pt>
                <c:pt idx="13">
                  <c:v>13.692842172137127</c:v>
                </c:pt>
                <c:pt idx="14">
                  <c:v>13.692842172137127</c:v>
                </c:pt>
                <c:pt idx="15">
                  <c:v>13.692842172137127</c:v>
                </c:pt>
                <c:pt idx="16">
                  <c:v>13.692842172137127</c:v>
                </c:pt>
                <c:pt idx="17">
                  <c:v>13.692842172137127</c:v>
                </c:pt>
                <c:pt idx="18">
                  <c:v>13.692842172137127</c:v>
                </c:pt>
                <c:pt idx="19">
                  <c:v>13.692842172137127</c:v>
                </c:pt>
                <c:pt idx="20">
                  <c:v>13.692842172137127</c:v>
                </c:pt>
                <c:pt idx="21">
                  <c:v>13.692842172137127</c:v>
                </c:pt>
                <c:pt idx="22">
                  <c:v>13.692842172137127</c:v>
                </c:pt>
                <c:pt idx="23">
                  <c:v>13.692842172137127</c:v>
                </c:pt>
                <c:pt idx="24">
                  <c:v>13.692842172137127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5-4177-8B98-FB7F7F4D8E76}"/>
            </c:ext>
          </c:extLst>
        </c:ser>
        <c:ser>
          <c:idx val="3"/>
          <c:order val="2"/>
          <c:tx>
            <c:strRef>
              <c:f>'6-(A) SPC X-S'!$S$1</c:f>
              <c:strCache>
                <c:ptCount val="1"/>
                <c:pt idx="0">
                  <c:v>LCL (X-bar)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X-S'!$S$2:$S$26</c:f>
              <c:numCache>
                <c:formatCode>0.00</c:formatCode>
                <c:ptCount val="25"/>
                <c:pt idx="0">
                  <c:v>12.255157827862867</c:v>
                </c:pt>
                <c:pt idx="1">
                  <c:v>12.255157827862867</c:v>
                </c:pt>
                <c:pt idx="2">
                  <c:v>12.255157827862867</c:v>
                </c:pt>
                <c:pt idx="3">
                  <c:v>12.255157827862867</c:v>
                </c:pt>
                <c:pt idx="4">
                  <c:v>12.255157827862867</c:v>
                </c:pt>
                <c:pt idx="5">
                  <c:v>12.255157827862867</c:v>
                </c:pt>
                <c:pt idx="6">
                  <c:v>12.255157827862867</c:v>
                </c:pt>
                <c:pt idx="7">
                  <c:v>12.255157827862867</c:v>
                </c:pt>
                <c:pt idx="8">
                  <c:v>12.255157827862867</c:v>
                </c:pt>
                <c:pt idx="9">
                  <c:v>12.255157827862867</c:v>
                </c:pt>
                <c:pt idx="10">
                  <c:v>12.255157827862867</c:v>
                </c:pt>
                <c:pt idx="11">
                  <c:v>12.255157827862867</c:v>
                </c:pt>
                <c:pt idx="12">
                  <c:v>12.255157827862867</c:v>
                </c:pt>
                <c:pt idx="13">
                  <c:v>12.255157827862867</c:v>
                </c:pt>
                <c:pt idx="14">
                  <c:v>12.255157827862867</c:v>
                </c:pt>
                <c:pt idx="15">
                  <c:v>12.255157827862867</c:v>
                </c:pt>
                <c:pt idx="16">
                  <c:v>12.255157827862867</c:v>
                </c:pt>
                <c:pt idx="17">
                  <c:v>12.255157827862867</c:v>
                </c:pt>
                <c:pt idx="18">
                  <c:v>12.255157827862867</c:v>
                </c:pt>
                <c:pt idx="19">
                  <c:v>12.255157827862867</c:v>
                </c:pt>
                <c:pt idx="20">
                  <c:v>12.255157827862867</c:v>
                </c:pt>
                <c:pt idx="21">
                  <c:v>12.255157827862867</c:v>
                </c:pt>
                <c:pt idx="22">
                  <c:v>12.255157827862867</c:v>
                </c:pt>
                <c:pt idx="23">
                  <c:v>12.255157827862867</c:v>
                </c:pt>
                <c:pt idx="24">
                  <c:v>12.255157827862867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E5-4177-8B98-FB7F7F4D8E76}"/>
            </c:ext>
          </c:extLst>
        </c:ser>
        <c:ser>
          <c:idx val="0"/>
          <c:order val="3"/>
          <c:tx>
            <c:strRef>
              <c:f>'6-(A) SPC X-S'!$N$1</c:f>
              <c:strCache>
                <c:ptCount val="1"/>
                <c:pt idx="0">
                  <c:v>x ̅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X-S'!$N$2:$N$26</c:f>
              <c:numCache>
                <c:formatCode>0.0</c:formatCode>
                <c:ptCount val="25"/>
                <c:pt idx="0">
                  <c:v>13.199999999999998</c:v>
                </c:pt>
                <c:pt idx="1">
                  <c:v>13.033333333333333</c:v>
                </c:pt>
                <c:pt idx="2">
                  <c:v>12.758333333333333</c:v>
                </c:pt>
                <c:pt idx="3">
                  <c:v>13.041666666666666</c:v>
                </c:pt>
                <c:pt idx="4">
                  <c:v>12.766666666666667</c:v>
                </c:pt>
                <c:pt idx="5">
                  <c:v>12.958333333333334</c:v>
                </c:pt>
                <c:pt idx="6">
                  <c:v>12.774999999999999</c:v>
                </c:pt>
                <c:pt idx="7">
                  <c:v>13.433333333333332</c:v>
                </c:pt>
                <c:pt idx="8">
                  <c:v>12.850000000000001</c:v>
                </c:pt>
                <c:pt idx="9">
                  <c:v>13.341666666666669</c:v>
                </c:pt>
                <c:pt idx="10">
                  <c:v>13.35</c:v>
                </c:pt>
                <c:pt idx="11">
                  <c:v>13.075000000000003</c:v>
                </c:pt>
                <c:pt idx="12">
                  <c:v>13.041666666666664</c:v>
                </c:pt>
                <c:pt idx="13">
                  <c:v>13.041666666666666</c:v>
                </c:pt>
                <c:pt idx="14">
                  <c:v>13.041666666666666</c:v>
                </c:pt>
                <c:pt idx="15">
                  <c:v>12.916666666666664</c:v>
                </c:pt>
                <c:pt idx="16">
                  <c:v>13.158333333333331</c:v>
                </c:pt>
                <c:pt idx="17">
                  <c:v>13.075000000000003</c:v>
                </c:pt>
                <c:pt idx="18">
                  <c:v>12.758333333333331</c:v>
                </c:pt>
                <c:pt idx="19">
                  <c:v>12.791666666666666</c:v>
                </c:pt>
                <c:pt idx="20">
                  <c:v>12.658333333333331</c:v>
                </c:pt>
                <c:pt idx="21">
                  <c:v>12.458333333333336</c:v>
                </c:pt>
                <c:pt idx="22">
                  <c:v>13.016666666666664</c:v>
                </c:pt>
                <c:pt idx="23">
                  <c:v>12.875</c:v>
                </c:pt>
                <c:pt idx="24">
                  <c:v>12.933333333333332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E5-4177-8B98-FB7F7F4D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'6-(A) SPC X-S'!$Q$1</c:f>
              <c:strCache>
                <c:ptCount val="1"/>
                <c:pt idx="0">
                  <c:v>S ̅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X-S'!$Q$2:$Q$26</c:f>
              <c:numCache>
                <c:formatCode>0.000</c:formatCode>
                <c:ptCount val="25"/>
                <c:pt idx="0">
                  <c:v>0.81133428006448061</c:v>
                </c:pt>
                <c:pt idx="1">
                  <c:v>0.81133428006448061</c:v>
                </c:pt>
                <c:pt idx="2">
                  <c:v>0.81133428006448061</c:v>
                </c:pt>
                <c:pt idx="3">
                  <c:v>0.81133428006448061</c:v>
                </c:pt>
                <c:pt idx="4">
                  <c:v>0.81133428006448061</c:v>
                </c:pt>
                <c:pt idx="5">
                  <c:v>0.81133428006448061</c:v>
                </c:pt>
                <c:pt idx="6">
                  <c:v>0.81133428006448061</c:v>
                </c:pt>
                <c:pt idx="7">
                  <c:v>0.81133428006448061</c:v>
                </c:pt>
                <c:pt idx="8">
                  <c:v>0.81133428006448061</c:v>
                </c:pt>
                <c:pt idx="9">
                  <c:v>0.81133428006448061</c:v>
                </c:pt>
                <c:pt idx="10">
                  <c:v>0.81133428006448061</c:v>
                </c:pt>
                <c:pt idx="11">
                  <c:v>0.81133428006448061</c:v>
                </c:pt>
                <c:pt idx="12">
                  <c:v>0.81133428006448061</c:v>
                </c:pt>
                <c:pt idx="13">
                  <c:v>0.81133428006448061</c:v>
                </c:pt>
                <c:pt idx="14">
                  <c:v>0.81133428006448061</c:v>
                </c:pt>
                <c:pt idx="15">
                  <c:v>0.81133428006448061</c:v>
                </c:pt>
                <c:pt idx="16">
                  <c:v>0.81133428006448061</c:v>
                </c:pt>
                <c:pt idx="17">
                  <c:v>0.81133428006448061</c:v>
                </c:pt>
                <c:pt idx="18">
                  <c:v>0.81133428006448061</c:v>
                </c:pt>
                <c:pt idx="19">
                  <c:v>0.81133428006448061</c:v>
                </c:pt>
                <c:pt idx="20">
                  <c:v>0.81133428006448061</c:v>
                </c:pt>
                <c:pt idx="21">
                  <c:v>0.81133428006448061</c:v>
                </c:pt>
                <c:pt idx="22">
                  <c:v>0.81133428006448061</c:v>
                </c:pt>
                <c:pt idx="23">
                  <c:v>0.81133428006448061</c:v>
                </c:pt>
                <c:pt idx="24">
                  <c:v>0.81133428006448061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4-4460-8B9C-1A9457B71957}"/>
            </c:ext>
          </c:extLst>
        </c:ser>
        <c:ser>
          <c:idx val="2"/>
          <c:order val="1"/>
          <c:tx>
            <c:strRef>
              <c:f>'6-(A) SPC X-S'!$T$1</c:f>
              <c:strCache>
                <c:ptCount val="1"/>
                <c:pt idx="0">
                  <c:v>UCL (S)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X-S'!$T$2:$T$26</c:f>
              <c:numCache>
                <c:formatCode>0.00</c:formatCode>
                <c:ptCount val="25"/>
                <c:pt idx="0">
                  <c:v>1.335456224986135</c:v>
                </c:pt>
                <c:pt idx="1">
                  <c:v>1.335456224986135</c:v>
                </c:pt>
                <c:pt idx="2">
                  <c:v>1.335456224986135</c:v>
                </c:pt>
                <c:pt idx="3">
                  <c:v>1.335456224986135</c:v>
                </c:pt>
                <c:pt idx="4">
                  <c:v>1.335456224986135</c:v>
                </c:pt>
                <c:pt idx="5">
                  <c:v>1.335456224986135</c:v>
                </c:pt>
                <c:pt idx="6">
                  <c:v>1.335456224986135</c:v>
                </c:pt>
                <c:pt idx="7">
                  <c:v>1.335456224986135</c:v>
                </c:pt>
                <c:pt idx="8">
                  <c:v>1.335456224986135</c:v>
                </c:pt>
                <c:pt idx="9">
                  <c:v>1.335456224986135</c:v>
                </c:pt>
                <c:pt idx="10">
                  <c:v>1.335456224986135</c:v>
                </c:pt>
                <c:pt idx="11">
                  <c:v>1.335456224986135</c:v>
                </c:pt>
                <c:pt idx="12">
                  <c:v>1.335456224986135</c:v>
                </c:pt>
                <c:pt idx="13">
                  <c:v>1.335456224986135</c:v>
                </c:pt>
                <c:pt idx="14">
                  <c:v>1.335456224986135</c:v>
                </c:pt>
                <c:pt idx="15">
                  <c:v>1.335456224986135</c:v>
                </c:pt>
                <c:pt idx="16">
                  <c:v>1.335456224986135</c:v>
                </c:pt>
                <c:pt idx="17">
                  <c:v>1.335456224986135</c:v>
                </c:pt>
                <c:pt idx="18">
                  <c:v>1.335456224986135</c:v>
                </c:pt>
                <c:pt idx="19">
                  <c:v>1.335456224986135</c:v>
                </c:pt>
                <c:pt idx="20">
                  <c:v>1.335456224986135</c:v>
                </c:pt>
                <c:pt idx="21">
                  <c:v>1.335456224986135</c:v>
                </c:pt>
                <c:pt idx="22">
                  <c:v>1.335456224986135</c:v>
                </c:pt>
                <c:pt idx="23">
                  <c:v>1.335456224986135</c:v>
                </c:pt>
                <c:pt idx="24">
                  <c:v>1.335456224986135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4-4460-8B9C-1A9457B71957}"/>
            </c:ext>
          </c:extLst>
        </c:ser>
        <c:ser>
          <c:idx val="3"/>
          <c:order val="2"/>
          <c:tx>
            <c:strRef>
              <c:f>'6-(A) SPC X-S'!$U$1</c:f>
              <c:strCache>
                <c:ptCount val="1"/>
                <c:pt idx="0">
                  <c:v>LCL (S)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X-S'!$U$2:$U$26</c:f>
              <c:numCache>
                <c:formatCode>0.00</c:formatCode>
                <c:ptCount val="25"/>
                <c:pt idx="0">
                  <c:v>0.28721233514282613</c:v>
                </c:pt>
                <c:pt idx="1">
                  <c:v>0.28721233514282613</c:v>
                </c:pt>
                <c:pt idx="2">
                  <c:v>0.28721233514282613</c:v>
                </c:pt>
                <c:pt idx="3">
                  <c:v>0.28721233514282613</c:v>
                </c:pt>
                <c:pt idx="4">
                  <c:v>0.28721233514282613</c:v>
                </c:pt>
                <c:pt idx="5">
                  <c:v>0.28721233514282613</c:v>
                </c:pt>
                <c:pt idx="6">
                  <c:v>0.28721233514282613</c:v>
                </c:pt>
                <c:pt idx="7">
                  <c:v>0.28721233514282613</c:v>
                </c:pt>
                <c:pt idx="8">
                  <c:v>0.28721233514282613</c:v>
                </c:pt>
                <c:pt idx="9">
                  <c:v>0.28721233514282613</c:v>
                </c:pt>
                <c:pt idx="10">
                  <c:v>0.28721233514282613</c:v>
                </c:pt>
                <c:pt idx="11">
                  <c:v>0.28721233514282613</c:v>
                </c:pt>
                <c:pt idx="12">
                  <c:v>0.28721233514282613</c:v>
                </c:pt>
                <c:pt idx="13">
                  <c:v>0.28721233514282613</c:v>
                </c:pt>
                <c:pt idx="14">
                  <c:v>0.28721233514282613</c:v>
                </c:pt>
                <c:pt idx="15">
                  <c:v>0.28721233514282613</c:v>
                </c:pt>
                <c:pt idx="16">
                  <c:v>0.28721233514282613</c:v>
                </c:pt>
                <c:pt idx="17">
                  <c:v>0.28721233514282613</c:v>
                </c:pt>
                <c:pt idx="18">
                  <c:v>0.28721233514282613</c:v>
                </c:pt>
                <c:pt idx="19">
                  <c:v>0.28721233514282613</c:v>
                </c:pt>
                <c:pt idx="20">
                  <c:v>0.28721233514282613</c:v>
                </c:pt>
                <c:pt idx="21">
                  <c:v>0.28721233514282613</c:v>
                </c:pt>
                <c:pt idx="22">
                  <c:v>0.28721233514282613</c:v>
                </c:pt>
                <c:pt idx="23">
                  <c:v>0.28721233514282613</c:v>
                </c:pt>
                <c:pt idx="24">
                  <c:v>0.28721233514282613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4-4460-8B9C-1A9457B71957}"/>
            </c:ext>
          </c:extLst>
        </c:ser>
        <c:ser>
          <c:idx val="0"/>
          <c:order val="3"/>
          <c:tx>
            <c:strRef>
              <c:f>'6-(A) SPC X-S'!$O$1</c:f>
              <c:strCache>
                <c:ptCount val="1"/>
                <c:pt idx="0">
                  <c:v>S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'6-(A) SPC X-S'!$A$2:$A$26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'6-(A) SPC X-S'!$O$2:$O$26</c:f>
              <c:numCache>
                <c:formatCode>0.0</c:formatCode>
                <c:ptCount val="25"/>
                <c:pt idx="0">
                  <c:v>0.85493221421881826</c:v>
                </c:pt>
                <c:pt idx="1">
                  <c:v>0.90184995056457884</c:v>
                </c:pt>
                <c:pt idx="2">
                  <c:v>0.87433957760683412</c:v>
                </c:pt>
                <c:pt idx="3">
                  <c:v>0.82842493853570043</c:v>
                </c:pt>
                <c:pt idx="4">
                  <c:v>0.63149653901496483</c:v>
                </c:pt>
                <c:pt idx="5">
                  <c:v>0.93367147554288266</c:v>
                </c:pt>
                <c:pt idx="6">
                  <c:v>1.1426643506217464</c:v>
                </c:pt>
                <c:pt idx="7">
                  <c:v>0.55322744514404376</c:v>
                </c:pt>
                <c:pt idx="8">
                  <c:v>1.1229020842927897</c:v>
                </c:pt>
                <c:pt idx="9">
                  <c:v>0.58068663640294782</c:v>
                </c:pt>
                <c:pt idx="10">
                  <c:v>0.74528822978398446</c:v>
                </c:pt>
                <c:pt idx="11">
                  <c:v>1.0136567466356645</c:v>
                </c:pt>
                <c:pt idx="12">
                  <c:v>0.59000513608447569</c:v>
                </c:pt>
                <c:pt idx="13">
                  <c:v>0.89489291724391995</c:v>
                </c:pt>
                <c:pt idx="14">
                  <c:v>0.80165548407748999</c:v>
                </c:pt>
                <c:pt idx="15">
                  <c:v>0.52886384797693431</c:v>
                </c:pt>
                <c:pt idx="16">
                  <c:v>0.71916407703455953</c:v>
                </c:pt>
                <c:pt idx="17">
                  <c:v>0.81142411284672267</c:v>
                </c:pt>
                <c:pt idx="18">
                  <c:v>0.97650427856748578</c:v>
                </c:pt>
                <c:pt idx="19">
                  <c:v>0.9326972941014906</c:v>
                </c:pt>
                <c:pt idx="20">
                  <c:v>0.82732683805718354</c:v>
                </c:pt>
                <c:pt idx="21">
                  <c:v>0.62879152974478603</c:v>
                </c:pt>
                <c:pt idx="22">
                  <c:v>0.79981058363650692</c:v>
                </c:pt>
                <c:pt idx="23">
                  <c:v>0.80014203284621477</c:v>
                </c:pt>
                <c:pt idx="24">
                  <c:v>0.78893868102929443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4-4460-8B9C-1A9457B71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p</a:t>
            </a:r>
            <a:r>
              <a:rPr lang="en-US"/>
              <a:t> </a:t>
            </a:r>
            <a:r>
              <a:rPr lang="en-US" baseline="0"/>
              <a:t>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'6-(B)SPC P'!$E$1</c:f>
              <c:strCache>
                <c:ptCount val="1"/>
                <c:pt idx="0">
                  <c:v>p ̅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'6-(B)SPC P'!$A$2:$A$26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'6-(B)SPC P'!$E$2:$E$26</c:f>
              <c:numCache>
                <c:formatCode>0.0%</c:formatCode>
                <c:ptCount val="25"/>
                <c:pt idx="0">
                  <c:v>0.1029535864978903</c:v>
                </c:pt>
                <c:pt idx="1">
                  <c:v>0.1029535864978903</c:v>
                </c:pt>
                <c:pt idx="2">
                  <c:v>0.1029535864978903</c:v>
                </c:pt>
                <c:pt idx="3">
                  <c:v>0.1029535864978903</c:v>
                </c:pt>
                <c:pt idx="4">
                  <c:v>0.1029535864978903</c:v>
                </c:pt>
                <c:pt idx="5">
                  <c:v>0.1029535864978903</c:v>
                </c:pt>
                <c:pt idx="6">
                  <c:v>0.1029535864978903</c:v>
                </c:pt>
                <c:pt idx="7">
                  <c:v>0.1029535864978903</c:v>
                </c:pt>
                <c:pt idx="8">
                  <c:v>0.1029535864978903</c:v>
                </c:pt>
                <c:pt idx="9">
                  <c:v>0.1029535864978903</c:v>
                </c:pt>
                <c:pt idx="10">
                  <c:v>0.1029535864978903</c:v>
                </c:pt>
                <c:pt idx="11">
                  <c:v>0.1029535864978903</c:v>
                </c:pt>
                <c:pt idx="12">
                  <c:v>0.1029535864978903</c:v>
                </c:pt>
                <c:pt idx="13">
                  <c:v>0.1029535864978903</c:v>
                </c:pt>
                <c:pt idx="14">
                  <c:v>0.1029535864978903</c:v>
                </c:pt>
                <c:pt idx="15">
                  <c:v>0.1029535864978903</c:v>
                </c:pt>
                <c:pt idx="16">
                  <c:v>0.1029535864978903</c:v>
                </c:pt>
                <c:pt idx="17">
                  <c:v>0.1029535864978903</c:v>
                </c:pt>
                <c:pt idx="18">
                  <c:v>0.1029535864978903</c:v>
                </c:pt>
                <c:pt idx="19">
                  <c:v>0.1029535864978903</c:v>
                </c:pt>
                <c:pt idx="20">
                  <c:v>0.1029535864978903</c:v>
                </c:pt>
                <c:pt idx="21">
                  <c:v>0.1029535864978903</c:v>
                </c:pt>
                <c:pt idx="22">
                  <c:v>0.1029535864978903</c:v>
                </c:pt>
                <c:pt idx="23">
                  <c:v>0.1029535864978903</c:v>
                </c:pt>
                <c:pt idx="24">
                  <c:v>0.1029535864978903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0-42E1-A178-4FA0B622415D}"/>
            </c:ext>
          </c:extLst>
        </c:ser>
        <c:ser>
          <c:idx val="2"/>
          <c:order val="1"/>
          <c:tx>
            <c:strRef>
              <c:f>'6-(B)SPC P'!$F$1</c:f>
              <c:strCache>
                <c:ptCount val="1"/>
                <c:pt idx="0">
                  <c:v>UCL (%)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'6-(B)SPC P'!$A$2:$A$26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'6-(B)SPC P'!$F$2:$F$26</c:f>
              <c:numCache>
                <c:formatCode>0.0%</c:formatCode>
                <c:ptCount val="25"/>
                <c:pt idx="0">
                  <c:v>0.18796955991905318</c:v>
                </c:pt>
                <c:pt idx="1">
                  <c:v>0.16442003372821432</c:v>
                </c:pt>
                <c:pt idx="2">
                  <c:v>0.16586650097670835</c:v>
                </c:pt>
                <c:pt idx="3">
                  <c:v>0.16442003372821432</c:v>
                </c:pt>
                <c:pt idx="4">
                  <c:v>0.16442003372821432</c:v>
                </c:pt>
                <c:pt idx="5">
                  <c:v>0.16004612609245453</c:v>
                </c:pt>
                <c:pt idx="6">
                  <c:v>0.14641692814989749</c:v>
                </c:pt>
                <c:pt idx="7">
                  <c:v>0.15067387050897563</c:v>
                </c:pt>
                <c:pt idx="8">
                  <c:v>0.16004612609245453</c:v>
                </c:pt>
                <c:pt idx="9">
                  <c:v>0.15559030719507422</c:v>
                </c:pt>
                <c:pt idx="10">
                  <c:v>0.15743776866266457</c:v>
                </c:pt>
                <c:pt idx="11">
                  <c:v>0.15314073050322435</c:v>
                </c:pt>
                <c:pt idx="12">
                  <c:v>0.15391887216268146</c:v>
                </c:pt>
                <c:pt idx="13">
                  <c:v>0.16373323622544689</c:v>
                </c:pt>
                <c:pt idx="14">
                  <c:v>0.15649014538045414</c:v>
                </c:pt>
                <c:pt idx="15">
                  <c:v>0.17287738156105406</c:v>
                </c:pt>
                <c:pt idx="16">
                  <c:v>0.21603540233362833</c:v>
                </c:pt>
                <c:pt idx="17">
                  <c:v>0.19412306108922517</c:v>
                </c:pt>
                <c:pt idx="18">
                  <c:v>0.18141977689227257</c:v>
                </c:pt>
                <c:pt idx="19">
                  <c:v>0.15743776866266457</c:v>
                </c:pt>
                <c:pt idx="20">
                  <c:v>0.16061422505578371</c:v>
                </c:pt>
                <c:pt idx="21">
                  <c:v>0.16442003372821432</c:v>
                </c:pt>
                <c:pt idx="22">
                  <c:v>0.16442003372821432</c:v>
                </c:pt>
                <c:pt idx="23">
                  <c:v>0.16442003372821432</c:v>
                </c:pt>
                <c:pt idx="24">
                  <c:v>0.16442003372821432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0-42E1-A178-4FA0B622415D}"/>
            </c:ext>
          </c:extLst>
        </c:ser>
        <c:ser>
          <c:idx val="3"/>
          <c:order val="2"/>
          <c:tx>
            <c:strRef>
              <c:f>'6-(B)SPC P'!$G$1</c:f>
              <c:strCache>
                <c:ptCount val="1"/>
                <c:pt idx="0">
                  <c:v>LCL (%)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'6-(B)SPC P'!$A$2:$A$26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'6-(B)SPC P'!$G$2:$G$26</c:f>
              <c:numCache>
                <c:formatCode>0.0%</c:formatCode>
                <c:ptCount val="25"/>
                <c:pt idx="0">
                  <c:v>1.7937613076727407E-2</c:v>
                </c:pt>
                <c:pt idx="1">
                  <c:v>4.1487139267566281E-2</c:v>
                </c:pt>
                <c:pt idx="2">
                  <c:v>4.0040672019072243E-2</c:v>
                </c:pt>
                <c:pt idx="3">
                  <c:v>4.1487139267566281E-2</c:v>
                </c:pt>
                <c:pt idx="4">
                  <c:v>4.1487139267566281E-2</c:v>
                </c:pt>
                <c:pt idx="5">
                  <c:v>4.5861046903326062E-2</c:v>
                </c:pt>
                <c:pt idx="6">
                  <c:v>5.9490244845883104E-2</c:v>
                </c:pt>
                <c:pt idx="7">
                  <c:v>5.5233302486804969E-2</c:v>
                </c:pt>
                <c:pt idx="8">
                  <c:v>4.5861046903326062E-2</c:v>
                </c:pt>
                <c:pt idx="9">
                  <c:v>5.0316865800706372E-2</c:v>
                </c:pt>
                <c:pt idx="10">
                  <c:v>4.8469404333116042E-2</c:v>
                </c:pt>
                <c:pt idx="11">
                  <c:v>5.2766442492556243E-2</c:v>
                </c:pt>
                <c:pt idx="12">
                  <c:v>5.1988300833099139E-2</c:v>
                </c:pt>
                <c:pt idx="13">
                  <c:v>4.2173936770333709E-2</c:v>
                </c:pt>
                <c:pt idx="14">
                  <c:v>4.9417027615326459E-2</c:v>
                </c:pt>
                <c:pt idx="15">
                  <c:v>3.3029791434726535E-2</c:v>
                </c:pt>
                <c:pt idx="16">
                  <c:v>0</c:v>
                </c:pt>
                <c:pt idx="17">
                  <c:v>1.1784111906555428E-2</c:v>
                </c:pt>
                <c:pt idx="18">
                  <c:v>2.4487396103508016E-2</c:v>
                </c:pt>
                <c:pt idx="19">
                  <c:v>4.8469404333116042E-2</c:v>
                </c:pt>
                <c:pt idx="20">
                  <c:v>4.52929479399969E-2</c:v>
                </c:pt>
                <c:pt idx="21">
                  <c:v>4.1487139267566281E-2</c:v>
                </c:pt>
                <c:pt idx="22">
                  <c:v>4.1487139267566281E-2</c:v>
                </c:pt>
                <c:pt idx="23">
                  <c:v>4.1487139267566281E-2</c:v>
                </c:pt>
                <c:pt idx="24">
                  <c:v>4.1487139267566281E-2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0-42E1-A178-4FA0B622415D}"/>
            </c:ext>
          </c:extLst>
        </c:ser>
        <c:ser>
          <c:idx val="0"/>
          <c:order val="3"/>
          <c:tx>
            <c:strRef>
              <c:f>'6-(B)SPC P'!$D$1</c:f>
              <c:strCache>
                <c:ptCount val="1"/>
                <c:pt idx="0">
                  <c:v>p (%)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'6-(B)SPC P'!$A$2:$A$26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'6-(B)SPC P'!$D$2:$D$26</c:f>
              <c:numCache>
                <c:formatCode>0%</c:formatCode>
                <c:ptCount val="25"/>
                <c:pt idx="0">
                  <c:v>0.13043478260869565</c:v>
                </c:pt>
                <c:pt idx="1">
                  <c:v>8.1818181818181818E-2</c:v>
                </c:pt>
                <c:pt idx="2">
                  <c:v>0.10952380952380952</c:v>
                </c:pt>
                <c:pt idx="3">
                  <c:v>0.1</c:v>
                </c:pt>
                <c:pt idx="4">
                  <c:v>8.1818181818181818E-2</c:v>
                </c:pt>
                <c:pt idx="5">
                  <c:v>5.8823529411764705E-2</c:v>
                </c:pt>
                <c:pt idx="6">
                  <c:v>0.1</c:v>
                </c:pt>
                <c:pt idx="7">
                  <c:v>0.12876712328767123</c:v>
                </c:pt>
                <c:pt idx="8">
                  <c:v>5.0980392156862744E-2</c:v>
                </c:pt>
                <c:pt idx="9">
                  <c:v>0.11</c:v>
                </c:pt>
                <c:pt idx="10">
                  <c:v>0.15</c:v>
                </c:pt>
                <c:pt idx="11">
                  <c:v>0.1393939393939394</c:v>
                </c:pt>
                <c:pt idx="12">
                  <c:v>0.11874999999999999</c:v>
                </c:pt>
                <c:pt idx="13">
                  <c:v>0.12888888888888889</c:v>
                </c:pt>
                <c:pt idx="14">
                  <c:v>8.9655172413793102E-2</c:v>
                </c:pt>
                <c:pt idx="15">
                  <c:v>0.1</c:v>
                </c:pt>
                <c:pt idx="16">
                  <c:v>7.6923076923076927E-2</c:v>
                </c:pt>
                <c:pt idx="17">
                  <c:v>7.0000000000000007E-2</c:v>
                </c:pt>
                <c:pt idx="18">
                  <c:v>0.1037037037037037</c:v>
                </c:pt>
                <c:pt idx="19">
                  <c:v>0.12857142857142856</c:v>
                </c:pt>
                <c:pt idx="20">
                  <c:v>0.1</c:v>
                </c:pt>
                <c:pt idx="21">
                  <c:v>0.10909090909090909</c:v>
                </c:pt>
                <c:pt idx="22">
                  <c:v>9.0909090909090912E-2</c:v>
                </c:pt>
                <c:pt idx="23">
                  <c:v>6.8181818181818177E-2</c:v>
                </c:pt>
                <c:pt idx="24">
                  <c:v>8.1818181818181818E-2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2E1-A178-4FA0B622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pn</a:t>
            </a:r>
            <a:r>
              <a:rPr lang="en-US"/>
              <a:t> </a:t>
            </a:r>
            <a:r>
              <a:rPr lang="en-US" baseline="0"/>
              <a:t>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'6-(C)SPC pn'!$E$1</c:f>
              <c:strCache>
                <c:ptCount val="1"/>
                <c:pt idx="0">
                  <c:v>p ̅n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'6-(C)SPC pn'!$A$2:$A$31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'6-(C)SPC pn'!$E$2:$E$31</c:f>
              <c:numCache>
                <c:formatCode>0.00</c:formatCode>
                <c:ptCount val="30"/>
                <c:pt idx="0">
                  <c:v>4.3</c:v>
                </c:pt>
                <c:pt idx="1">
                  <c:v>4.3</c:v>
                </c:pt>
                <c:pt idx="2">
                  <c:v>4.3</c:v>
                </c:pt>
                <c:pt idx="3">
                  <c:v>4.3</c:v>
                </c:pt>
                <c:pt idx="4">
                  <c:v>4.3</c:v>
                </c:pt>
                <c:pt idx="5">
                  <c:v>4.3</c:v>
                </c:pt>
                <c:pt idx="6">
                  <c:v>4.3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4.3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4.3</c:v>
                </c:pt>
                <c:pt idx="24">
                  <c:v>4.3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8-4A0D-9F4A-B33B132B54B6}"/>
            </c:ext>
          </c:extLst>
        </c:ser>
        <c:ser>
          <c:idx val="2"/>
          <c:order val="1"/>
          <c:tx>
            <c:strRef>
              <c:f>'6-(C)SPC pn'!$F$1</c:f>
              <c:strCache>
                <c:ptCount val="1"/>
                <c:pt idx="0">
                  <c:v>UCL (%)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'6-(C)SPC pn'!$A$2:$A$31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'6-(C)SPC pn'!$F$2:$F$31</c:f>
              <c:numCache>
                <c:formatCode>0.00</c:formatCode>
                <c:ptCount val="30"/>
                <c:pt idx="0">
                  <c:v>10.385712776659771</c:v>
                </c:pt>
                <c:pt idx="1">
                  <c:v>10.385712776659771</c:v>
                </c:pt>
                <c:pt idx="2">
                  <c:v>10.385712776659771</c:v>
                </c:pt>
                <c:pt idx="3">
                  <c:v>10.385712776659771</c:v>
                </c:pt>
                <c:pt idx="4">
                  <c:v>10.385712776659771</c:v>
                </c:pt>
                <c:pt idx="5">
                  <c:v>10.385712776659771</c:v>
                </c:pt>
                <c:pt idx="6">
                  <c:v>10.385712776659771</c:v>
                </c:pt>
                <c:pt idx="7">
                  <c:v>10.385712776659771</c:v>
                </c:pt>
                <c:pt idx="8">
                  <c:v>10.385712776659771</c:v>
                </c:pt>
                <c:pt idx="9">
                  <c:v>10.385712776659771</c:v>
                </c:pt>
                <c:pt idx="10">
                  <c:v>10.385712776659771</c:v>
                </c:pt>
                <c:pt idx="11">
                  <c:v>10.385712776659771</c:v>
                </c:pt>
                <c:pt idx="12">
                  <c:v>10.385712776659771</c:v>
                </c:pt>
                <c:pt idx="13">
                  <c:v>10.385712776659771</c:v>
                </c:pt>
                <c:pt idx="14">
                  <c:v>10.385712776659771</c:v>
                </c:pt>
                <c:pt idx="15">
                  <c:v>10.385712776659771</c:v>
                </c:pt>
                <c:pt idx="16">
                  <c:v>10.385712776659771</c:v>
                </c:pt>
                <c:pt idx="17">
                  <c:v>10.385712776659771</c:v>
                </c:pt>
                <c:pt idx="18">
                  <c:v>10.385712776659771</c:v>
                </c:pt>
                <c:pt idx="19">
                  <c:v>10.385712776659771</c:v>
                </c:pt>
                <c:pt idx="20">
                  <c:v>10.385712776659771</c:v>
                </c:pt>
                <c:pt idx="21">
                  <c:v>10.385712776659771</c:v>
                </c:pt>
                <c:pt idx="22">
                  <c:v>10.385712776659771</c:v>
                </c:pt>
                <c:pt idx="23">
                  <c:v>10.385712776659771</c:v>
                </c:pt>
                <c:pt idx="24">
                  <c:v>10.385712776659771</c:v>
                </c:pt>
                <c:pt idx="25">
                  <c:v>10.385712776659771</c:v>
                </c:pt>
                <c:pt idx="26">
                  <c:v>10.385712776659771</c:v>
                </c:pt>
                <c:pt idx="27">
                  <c:v>10.385712776659771</c:v>
                </c:pt>
                <c:pt idx="28">
                  <c:v>10.385712776659771</c:v>
                </c:pt>
                <c:pt idx="29">
                  <c:v>10.385712776659771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8-4A0D-9F4A-B33B132B54B6}"/>
            </c:ext>
          </c:extLst>
        </c:ser>
        <c:ser>
          <c:idx val="3"/>
          <c:order val="2"/>
          <c:tx>
            <c:strRef>
              <c:f>'6-(C)SPC pn'!$G$1</c:f>
              <c:strCache>
                <c:ptCount val="1"/>
                <c:pt idx="0">
                  <c:v>LCL (%)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'6-(C)SPC pn'!$A$2:$A$31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'6-(C)SPC pn'!$G$2:$G$31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8-4A0D-9F4A-B33B132B54B6}"/>
            </c:ext>
          </c:extLst>
        </c:ser>
        <c:ser>
          <c:idx val="0"/>
          <c:order val="3"/>
          <c:tx>
            <c:strRef>
              <c:f>'6-(C)SPC pn'!$C$1</c:f>
              <c:strCache>
                <c:ptCount val="1"/>
                <c:pt idx="0">
                  <c:v>pn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'6-(C)SPC pn'!$A$2:$A$31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'6-(C)SPC pn'!$C$2:$C$31</c:f>
              <c:numCache>
                <c:formatCode>General</c:formatCode>
                <c:ptCount val="30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15</c:v>
                </c:pt>
                <c:pt idx="20">
                  <c:v>12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8-4A0D-9F4A-B33B132B5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u</a:t>
            </a:r>
            <a:r>
              <a:rPr lang="en-US"/>
              <a:t> </a:t>
            </a:r>
            <a:r>
              <a:rPr lang="en-US" baseline="0"/>
              <a:t>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'6-(D)SPC u'!$E$1</c:f>
              <c:strCache>
                <c:ptCount val="1"/>
                <c:pt idx="0">
                  <c:v>u ̅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'6-(D)SPC u'!$A$2:$A$22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'6-(D)SPC u'!$E$2:$E$22</c:f>
              <c:numCache>
                <c:formatCode>0.00</c:formatCode>
                <c:ptCount val="21"/>
                <c:pt idx="0">
                  <c:v>3.125</c:v>
                </c:pt>
                <c:pt idx="1">
                  <c:v>3.125</c:v>
                </c:pt>
                <c:pt idx="2">
                  <c:v>3.125</c:v>
                </c:pt>
                <c:pt idx="3">
                  <c:v>3.125</c:v>
                </c:pt>
                <c:pt idx="4">
                  <c:v>3.125</c:v>
                </c:pt>
                <c:pt idx="5">
                  <c:v>3.125</c:v>
                </c:pt>
                <c:pt idx="6">
                  <c:v>3.125</c:v>
                </c:pt>
                <c:pt idx="7">
                  <c:v>3.125</c:v>
                </c:pt>
                <c:pt idx="8">
                  <c:v>3.125</c:v>
                </c:pt>
                <c:pt idx="9">
                  <c:v>3.125</c:v>
                </c:pt>
                <c:pt idx="10">
                  <c:v>3.125</c:v>
                </c:pt>
                <c:pt idx="11">
                  <c:v>3.125</c:v>
                </c:pt>
                <c:pt idx="12">
                  <c:v>3.125</c:v>
                </c:pt>
                <c:pt idx="13">
                  <c:v>3.125</c:v>
                </c:pt>
                <c:pt idx="14">
                  <c:v>3.125</c:v>
                </c:pt>
                <c:pt idx="15">
                  <c:v>3.125</c:v>
                </c:pt>
                <c:pt idx="16">
                  <c:v>3.125</c:v>
                </c:pt>
                <c:pt idx="17">
                  <c:v>3.125</c:v>
                </c:pt>
                <c:pt idx="18">
                  <c:v>3.125</c:v>
                </c:pt>
                <c:pt idx="19">
                  <c:v>3.125</c:v>
                </c:pt>
                <c:pt idx="20">
                  <c:v>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5-47BD-9A6B-FFA313C5A66C}"/>
            </c:ext>
          </c:extLst>
        </c:ser>
        <c:ser>
          <c:idx val="2"/>
          <c:order val="1"/>
          <c:tx>
            <c:strRef>
              <c:f>'6-(D)SPC u'!$F$1</c:f>
              <c:strCache>
                <c:ptCount val="1"/>
                <c:pt idx="0">
                  <c:v>UCL 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'6-(D)SPC u'!$A$2:$A$22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'6-(D)SPC u'!$F$2:$F$22</c:f>
              <c:numCache>
                <c:formatCode>0.00</c:formatCode>
                <c:ptCount val="21"/>
                <c:pt idx="0">
                  <c:v>8.4283008588991066</c:v>
                </c:pt>
                <c:pt idx="1">
                  <c:v>8.4283008588991066</c:v>
                </c:pt>
                <c:pt idx="2">
                  <c:v>8.4283008588991066</c:v>
                </c:pt>
                <c:pt idx="3">
                  <c:v>8.4283008588991066</c:v>
                </c:pt>
                <c:pt idx="4">
                  <c:v>8.4283008588991066</c:v>
                </c:pt>
                <c:pt idx="5">
                  <c:v>7.7763025470953169</c:v>
                </c:pt>
                <c:pt idx="6">
                  <c:v>7.7763025470953169</c:v>
                </c:pt>
                <c:pt idx="7">
                  <c:v>7.7763025470953169</c:v>
                </c:pt>
                <c:pt idx="8">
                  <c:v>7.7763025470953169</c:v>
                </c:pt>
                <c:pt idx="9">
                  <c:v>7.7763025470953169</c:v>
                </c:pt>
                <c:pt idx="10">
                  <c:v>7.7763025470953169</c:v>
                </c:pt>
                <c:pt idx="11">
                  <c:v>7.7763025470953169</c:v>
                </c:pt>
                <c:pt idx="12">
                  <c:v>7.7763025470953169</c:v>
                </c:pt>
                <c:pt idx="13">
                  <c:v>7.7763025470953169</c:v>
                </c:pt>
                <c:pt idx="14">
                  <c:v>7.9662291827592719</c:v>
                </c:pt>
                <c:pt idx="15">
                  <c:v>7.9662291827592719</c:v>
                </c:pt>
                <c:pt idx="16">
                  <c:v>7.9662291827592719</c:v>
                </c:pt>
                <c:pt idx="17">
                  <c:v>7.192446084099803</c:v>
                </c:pt>
                <c:pt idx="18">
                  <c:v>7.192446084099803</c:v>
                </c:pt>
                <c:pt idx="19">
                  <c:v>7.192446084099803</c:v>
                </c:pt>
                <c:pt idx="20">
                  <c:v>7.0778470752104745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5-47BD-9A6B-FFA313C5A66C}"/>
            </c:ext>
          </c:extLst>
        </c:ser>
        <c:ser>
          <c:idx val="3"/>
          <c:order val="2"/>
          <c:tx>
            <c:strRef>
              <c:f>'6-(D)SPC u'!$G$1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'6-(D)SPC u'!$A$2:$A$22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'6-(D)SPC u'!$G$2:$G$22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5-47BD-9A6B-FFA313C5A66C}"/>
            </c:ext>
          </c:extLst>
        </c:ser>
        <c:ser>
          <c:idx val="0"/>
          <c:order val="3"/>
          <c:tx>
            <c:strRef>
              <c:f>'6-(D)SPC u'!$D$1</c:f>
              <c:strCache>
                <c:ptCount val="1"/>
                <c:pt idx="0">
                  <c:v>pinholes per unit u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'6-(D)SPC u'!$A$2:$A$22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'6-(D)SPC u'!$D$2:$D$22</c:f>
              <c:numCache>
                <c:formatCode>0.0</c:formatCode>
                <c:ptCount val="21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1.5384615384615383</c:v>
                </c:pt>
                <c:pt idx="6">
                  <c:v>3.8461538461538458</c:v>
                </c:pt>
                <c:pt idx="7">
                  <c:v>2.3076923076923075</c:v>
                </c:pt>
                <c:pt idx="8">
                  <c:v>1.5384615384615383</c:v>
                </c:pt>
                <c:pt idx="9">
                  <c:v>0.76923076923076916</c:v>
                </c:pt>
                <c:pt idx="10">
                  <c:v>3.8461538461538458</c:v>
                </c:pt>
                <c:pt idx="11">
                  <c:v>1.5384615384615383</c:v>
                </c:pt>
                <c:pt idx="12">
                  <c:v>3.0769230769230766</c:v>
                </c:pt>
                <c:pt idx="13">
                  <c:v>1.5384615384615383</c:v>
                </c:pt>
                <c:pt idx="14">
                  <c:v>5</c:v>
                </c:pt>
                <c:pt idx="15">
                  <c:v>3.3333333333333335</c:v>
                </c:pt>
                <c:pt idx="16">
                  <c:v>0</c:v>
                </c:pt>
                <c:pt idx="17">
                  <c:v>4.7058823529411766</c:v>
                </c:pt>
                <c:pt idx="18">
                  <c:v>1.7647058823529411</c:v>
                </c:pt>
                <c:pt idx="19">
                  <c:v>4.7058823529411766</c:v>
                </c:pt>
                <c:pt idx="20">
                  <c:v>5.5555555555555554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85-47BD-9A6B-FFA313C5A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c</a:t>
            </a:r>
            <a:r>
              <a:rPr lang="en-US"/>
              <a:t> </a:t>
            </a:r>
            <a:r>
              <a:rPr lang="en-US" baseline="0"/>
              <a:t>Chart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'6-(D)SPC c '!$D$1</c:f>
              <c:strCache>
                <c:ptCount val="1"/>
                <c:pt idx="0">
                  <c:v>c ̅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'6-(D)SPC c 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'6-(D)SPC c '!$D$2:$D$21</c:f>
              <c:numCache>
                <c:formatCode>0.00</c:formatCode>
                <c:ptCount val="20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4.0999999999999996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4-420C-B59A-5E3700320D95}"/>
            </c:ext>
          </c:extLst>
        </c:ser>
        <c:ser>
          <c:idx val="2"/>
          <c:order val="1"/>
          <c:tx>
            <c:strRef>
              <c:f>'6-(D)SPC c '!$E$1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'6-(D)SPC c 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'6-(D)SPC c '!$E$2:$E$21</c:f>
              <c:numCache>
                <c:formatCode>0.00</c:formatCode>
                <c:ptCount val="20"/>
                <c:pt idx="0">
                  <c:v>10.174537019394975</c:v>
                </c:pt>
                <c:pt idx="1">
                  <c:v>10.174537019394975</c:v>
                </c:pt>
                <c:pt idx="2">
                  <c:v>10.174537019394975</c:v>
                </c:pt>
                <c:pt idx="3">
                  <c:v>10.174537019394975</c:v>
                </c:pt>
                <c:pt idx="4">
                  <c:v>10.174537019394975</c:v>
                </c:pt>
                <c:pt idx="5">
                  <c:v>10.174537019394975</c:v>
                </c:pt>
                <c:pt idx="6">
                  <c:v>10.174537019394975</c:v>
                </c:pt>
                <c:pt idx="7">
                  <c:v>10.174537019394975</c:v>
                </c:pt>
                <c:pt idx="8">
                  <c:v>10.174537019394975</c:v>
                </c:pt>
                <c:pt idx="9">
                  <c:v>10.174537019394975</c:v>
                </c:pt>
                <c:pt idx="10">
                  <c:v>10.174537019394975</c:v>
                </c:pt>
                <c:pt idx="11">
                  <c:v>10.174537019394975</c:v>
                </c:pt>
                <c:pt idx="12">
                  <c:v>10.174537019394975</c:v>
                </c:pt>
                <c:pt idx="13">
                  <c:v>10.174537019394975</c:v>
                </c:pt>
                <c:pt idx="14">
                  <c:v>10.174537019394975</c:v>
                </c:pt>
                <c:pt idx="15">
                  <c:v>10.174537019394975</c:v>
                </c:pt>
                <c:pt idx="16">
                  <c:v>10.174537019394975</c:v>
                </c:pt>
                <c:pt idx="17">
                  <c:v>10.174537019394975</c:v>
                </c:pt>
                <c:pt idx="18">
                  <c:v>10.174537019394975</c:v>
                </c:pt>
                <c:pt idx="19">
                  <c:v>10.174537019394975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4-420C-B59A-5E3700320D95}"/>
            </c:ext>
          </c:extLst>
        </c:ser>
        <c:ser>
          <c:idx val="3"/>
          <c:order val="2"/>
          <c:tx>
            <c:strRef>
              <c:f>'6-(D)SPC c '!$F$1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'6-(D)SPC c 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'6-(D)SPC c '!$F$2:$F$21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84-420C-B59A-5E3700320D95}"/>
            </c:ext>
          </c:extLst>
        </c:ser>
        <c:ser>
          <c:idx val="0"/>
          <c:order val="3"/>
          <c:tx>
            <c:strRef>
              <c:f>'6-(D)SPC c '!$C$1</c:f>
              <c:strCache>
                <c:ptCount val="1"/>
                <c:pt idx="0">
                  <c:v>No. of defects c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'6-(D)SPC c 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'6-(D)SPC c '!$C$2:$C$21</c:f>
              <c:numCache>
                <c:formatCode>0</c:formatCode>
                <c:ptCount val="20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  <c:pt idx="14">
                  <c:v>2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4-420C-B59A-5E3700320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70943"/>
        <c:axId val="464874239"/>
      </c:lineChart>
      <c:catAx>
        <c:axId val="4123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4239"/>
        <c:crosses val="autoZero"/>
        <c:auto val="1"/>
        <c:lblAlgn val="ctr"/>
        <c:lblOffset val="100"/>
        <c:noMultiLvlLbl val="0"/>
      </c:catAx>
      <c:valAx>
        <c:axId val="464874239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0943"/>
        <c:crosses val="autoZero"/>
        <c:crossBetween val="midCat"/>
      </c:val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Scatter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'7 - Scatter Diagram'!$B$2:$B$52</c:f>
              <c:numCache>
                <c:formatCode>0.0</c:formatCode>
                <c:ptCount val="51"/>
                <c:pt idx="0">
                  <c:v>8.1</c:v>
                </c:pt>
                <c:pt idx="1">
                  <c:v>7.7</c:v>
                </c:pt>
                <c:pt idx="2">
                  <c:v>7.4</c:v>
                </c:pt>
                <c:pt idx="3">
                  <c:v>5.8</c:v>
                </c:pt>
                <c:pt idx="4">
                  <c:v>7.6</c:v>
                </c:pt>
                <c:pt idx="5">
                  <c:v>6.8</c:v>
                </c:pt>
                <c:pt idx="6">
                  <c:v>7.9</c:v>
                </c:pt>
                <c:pt idx="7">
                  <c:v>6.3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7.2</c:v>
                </c:pt>
                <c:pt idx="13">
                  <c:v>6</c:v>
                </c:pt>
                <c:pt idx="14">
                  <c:v>6.3</c:v>
                </c:pt>
                <c:pt idx="15">
                  <c:v>6.7</c:v>
                </c:pt>
                <c:pt idx="16">
                  <c:v>8.1999999999999993</c:v>
                </c:pt>
                <c:pt idx="17">
                  <c:v>8.1</c:v>
                </c:pt>
                <c:pt idx="18">
                  <c:v>6.6</c:v>
                </c:pt>
                <c:pt idx="19">
                  <c:v>6.5</c:v>
                </c:pt>
                <c:pt idx="20">
                  <c:v>8.5</c:v>
                </c:pt>
                <c:pt idx="21">
                  <c:v>7.4</c:v>
                </c:pt>
                <c:pt idx="22">
                  <c:v>7.2</c:v>
                </c:pt>
                <c:pt idx="23">
                  <c:v>5.6</c:v>
                </c:pt>
                <c:pt idx="24">
                  <c:v>6.3</c:v>
                </c:pt>
                <c:pt idx="25">
                  <c:v>8</c:v>
                </c:pt>
                <c:pt idx="26">
                  <c:v>5.5</c:v>
                </c:pt>
                <c:pt idx="27">
                  <c:v>6.9</c:v>
                </c:pt>
                <c:pt idx="28">
                  <c:v>7</c:v>
                </c:pt>
                <c:pt idx="29">
                  <c:v>7.5</c:v>
                </c:pt>
                <c:pt idx="30">
                  <c:v>6.7</c:v>
                </c:pt>
                <c:pt idx="31">
                  <c:v>8.1</c:v>
                </c:pt>
                <c:pt idx="32">
                  <c:v>9</c:v>
                </c:pt>
                <c:pt idx="33">
                  <c:v>7.1</c:v>
                </c:pt>
                <c:pt idx="34">
                  <c:v>7.6</c:v>
                </c:pt>
                <c:pt idx="35">
                  <c:v>8.5</c:v>
                </c:pt>
                <c:pt idx="36">
                  <c:v>7.5</c:v>
                </c:pt>
                <c:pt idx="37">
                  <c:v>8</c:v>
                </c:pt>
                <c:pt idx="38">
                  <c:v>5.2</c:v>
                </c:pt>
                <c:pt idx="39">
                  <c:v>6.5</c:v>
                </c:pt>
                <c:pt idx="40">
                  <c:v>8</c:v>
                </c:pt>
                <c:pt idx="41">
                  <c:v>6.9</c:v>
                </c:pt>
                <c:pt idx="42">
                  <c:v>7.6</c:v>
                </c:pt>
                <c:pt idx="43">
                  <c:v>6.5</c:v>
                </c:pt>
                <c:pt idx="44">
                  <c:v>5.5</c:v>
                </c:pt>
                <c:pt idx="45">
                  <c:v>6</c:v>
                </c:pt>
                <c:pt idx="46">
                  <c:v>5.5</c:v>
                </c:pt>
                <c:pt idx="47">
                  <c:v>7.6</c:v>
                </c:pt>
                <c:pt idx="48">
                  <c:v>8.6</c:v>
                </c:pt>
                <c:pt idx="49">
                  <c:v>6.3</c:v>
                </c:pt>
              </c:numCache>
            </c:numRef>
          </c:xVal>
          <c:yVal>
            <c:numRef>
              <c:f>'7 - Scatter Diagram'!$C$2:$C$52</c:f>
              <c:numCache>
                <c:formatCode>General</c:formatCode>
                <c:ptCount val="51"/>
                <c:pt idx="0">
                  <c:v>1046</c:v>
                </c:pt>
                <c:pt idx="1">
                  <c:v>1030</c:v>
                </c:pt>
                <c:pt idx="2">
                  <c:v>1039</c:v>
                </c:pt>
                <c:pt idx="3">
                  <c:v>1027</c:v>
                </c:pt>
                <c:pt idx="4">
                  <c:v>1028</c:v>
                </c:pt>
                <c:pt idx="5">
                  <c:v>1025</c:v>
                </c:pt>
                <c:pt idx="6">
                  <c:v>1035</c:v>
                </c:pt>
                <c:pt idx="7">
                  <c:v>1015</c:v>
                </c:pt>
                <c:pt idx="8">
                  <c:v>1038</c:v>
                </c:pt>
                <c:pt idx="9">
                  <c:v>1036</c:v>
                </c:pt>
                <c:pt idx="10">
                  <c:v>1026</c:v>
                </c:pt>
                <c:pt idx="11">
                  <c:v>1041</c:v>
                </c:pt>
                <c:pt idx="12">
                  <c:v>1029</c:v>
                </c:pt>
                <c:pt idx="13">
                  <c:v>1010</c:v>
                </c:pt>
                <c:pt idx="14">
                  <c:v>1020</c:v>
                </c:pt>
                <c:pt idx="15">
                  <c:v>1024</c:v>
                </c:pt>
                <c:pt idx="16">
                  <c:v>1034</c:v>
                </c:pt>
                <c:pt idx="17">
                  <c:v>1036</c:v>
                </c:pt>
                <c:pt idx="18">
                  <c:v>1023</c:v>
                </c:pt>
                <c:pt idx="19">
                  <c:v>1011</c:v>
                </c:pt>
                <c:pt idx="20">
                  <c:v>1030</c:v>
                </c:pt>
                <c:pt idx="21">
                  <c:v>1014</c:v>
                </c:pt>
                <c:pt idx="22">
                  <c:v>1030</c:v>
                </c:pt>
                <c:pt idx="23">
                  <c:v>1016</c:v>
                </c:pt>
                <c:pt idx="24">
                  <c:v>1020</c:v>
                </c:pt>
                <c:pt idx="25">
                  <c:v>1040</c:v>
                </c:pt>
                <c:pt idx="26">
                  <c:v>1013</c:v>
                </c:pt>
                <c:pt idx="27">
                  <c:v>1025</c:v>
                </c:pt>
                <c:pt idx="28">
                  <c:v>1020</c:v>
                </c:pt>
                <c:pt idx="29">
                  <c:v>1022</c:v>
                </c:pt>
                <c:pt idx="30">
                  <c:v>1020</c:v>
                </c:pt>
                <c:pt idx="31">
                  <c:v>1035</c:v>
                </c:pt>
                <c:pt idx="32">
                  <c:v>1052</c:v>
                </c:pt>
                <c:pt idx="33">
                  <c:v>1021</c:v>
                </c:pt>
                <c:pt idx="34">
                  <c:v>1024</c:v>
                </c:pt>
                <c:pt idx="35">
                  <c:v>1029</c:v>
                </c:pt>
                <c:pt idx="36">
                  <c:v>1015</c:v>
                </c:pt>
                <c:pt idx="37">
                  <c:v>1030</c:v>
                </c:pt>
                <c:pt idx="38">
                  <c:v>1010</c:v>
                </c:pt>
                <c:pt idx="39">
                  <c:v>1025</c:v>
                </c:pt>
                <c:pt idx="40">
                  <c:v>1031</c:v>
                </c:pt>
                <c:pt idx="41">
                  <c:v>1030</c:v>
                </c:pt>
                <c:pt idx="42">
                  <c:v>1034</c:v>
                </c:pt>
                <c:pt idx="43">
                  <c:v>1034</c:v>
                </c:pt>
                <c:pt idx="44">
                  <c:v>1020</c:v>
                </c:pt>
                <c:pt idx="45">
                  <c:v>1025</c:v>
                </c:pt>
                <c:pt idx="46">
                  <c:v>1023</c:v>
                </c:pt>
                <c:pt idx="47">
                  <c:v>1028</c:v>
                </c:pt>
                <c:pt idx="48">
                  <c:v>1020</c:v>
                </c:pt>
                <c:pt idx="49">
                  <c:v>1026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E-4DA6-8199-33C90A45CEA7}"/>
            </c:ext>
          </c:extLst>
        </c:ser>
        <c:ser>
          <c:idx val="1"/>
          <c:order val="1"/>
          <c:tx>
            <c:strRef>
              <c:f>'7 - Scatter Diagram'!$L$1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'7 - Scatter Diagram'!$K$2:$K$51</c:f>
              <c:numCache>
                <c:formatCode>General</c:formatCode>
                <c:ptCount val="50"/>
                <c:pt idx="0">
                  <c:v>7.6</c:v>
                </c:pt>
                <c:pt idx="1">
                  <c:v>6.3</c:v>
                </c:pt>
                <c:pt idx="2">
                  <c:v>6.3</c:v>
                </c:pt>
                <c:pt idx="3">
                  <c:v>7.6</c:v>
                </c:pt>
              </c:numCache>
            </c:numRef>
          </c:xVal>
          <c:yVal>
            <c:numRef>
              <c:f>'7 - Scatter Diagram'!$L$2:$L$51</c:f>
              <c:numCache>
                <c:formatCode>General</c:formatCode>
                <c:ptCount val="50"/>
                <c:pt idx="0">
                  <c:v>1028</c:v>
                </c:pt>
                <c:pt idx="1">
                  <c:v>1020</c:v>
                </c:pt>
                <c:pt idx="2">
                  <c:v>1020</c:v>
                </c:pt>
                <c:pt idx="3">
                  <c:v>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7E-4DA6-8199-33C90A45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56592"/>
        <c:axId val="416684144"/>
      </c:scatterChart>
      <c:valAx>
        <c:axId val="847456592"/>
        <c:scaling>
          <c:orientation val="minMax"/>
          <c:min val="4"/>
        </c:scaling>
        <c:delete val="0"/>
        <c:axPos val="b"/>
        <c:title>
          <c:tx>
            <c:strRef>
              <c:f>Table12[[#Headers],[The Speed ]]</c:f>
              <c:strCache>
                <c:ptCount val="1"/>
                <c:pt idx="0">
                  <c:v>The Speed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84144"/>
        <c:crosses val="autoZero"/>
        <c:crossBetween val="midCat"/>
      </c:valAx>
      <c:valAx>
        <c:axId val="416684144"/>
        <c:scaling>
          <c:orientation val="minMax"/>
        </c:scaling>
        <c:delete val="0"/>
        <c:axPos val="l"/>
        <c:title>
          <c:tx>
            <c:strRef>
              <c:f>Table12[[#Headers],[Length (mm)]]</c:f>
              <c:strCache>
                <c:ptCount val="1"/>
                <c:pt idx="0">
                  <c:v>Length (mm)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5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'7 - Scatter Diagram'!$B$2:$B$51</c:f>
              <c:numCache>
                <c:formatCode>0.0</c:formatCode>
                <c:ptCount val="50"/>
                <c:pt idx="0">
                  <c:v>8.1</c:v>
                </c:pt>
                <c:pt idx="1">
                  <c:v>7.7</c:v>
                </c:pt>
                <c:pt idx="2">
                  <c:v>7.4</c:v>
                </c:pt>
                <c:pt idx="3">
                  <c:v>5.8</c:v>
                </c:pt>
                <c:pt idx="4">
                  <c:v>7.6</c:v>
                </c:pt>
                <c:pt idx="5">
                  <c:v>6.8</c:v>
                </c:pt>
                <c:pt idx="6">
                  <c:v>7.9</c:v>
                </c:pt>
                <c:pt idx="7">
                  <c:v>6.3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7.2</c:v>
                </c:pt>
                <c:pt idx="13">
                  <c:v>6</c:v>
                </c:pt>
                <c:pt idx="14">
                  <c:v>6.3</c:v>
                </c:pt>
                <c:pt idx="15">
                  <c:v>6.7</c:v>
                </c:pt>
                <c:pt idx="16">
                  <c:v>8.1999999999999993</c:v>
                </c:pt>
                <c:pt idx="17">
                  <c:v>8.1</c:v>
                </c:pt>
                <c:pt idx="18">
                  <c:v>6.6</c:v>
                </c:pt>
                <c:pt idx="19">
                  <c:v>6.5</c:v>
                </c:pt>
                <c:pt idx="20">
                  <c:v>8.5</c:v>
                </c:pt>
                <c:pt idx="21">
                  <c:v>7.4</c:v>
                </c:pt>
                <c:pt idx="22">
                  <c:v>7.2</c:v>
                </c:pt>
                <c:pt idx="23">
                  <c:v>5.6</c:v>
                </c:pt>
                <c:pt idx="24">
                  <c:v>6.3</c:v>
                </c:pt>
                <c:pt idx="25">
                  <c:v>8</c:v>
                </c:pt>
                <c:pt idx="26">
                  <c:v>5.5</c:v>
                </c:pt>
                <c:pt idx="27">
                  <c:v>6.9</c:v>
                </c:pt>
                <c:pt idx="28">
                  <c:v>7</c:v>
                </c:pt>
                <c:pt idx="29">
                  <c:v>7.5</c:v>
                </c:pt>
                <c:pt idx="30">
                  <c:v>6.7</c:v>
                </c:pt>
                <c:pt idx="31">
                  <c:v>8.1</c:v>
                </c:pt>
                <c:pt idx="32">
                  <c:v>9</c:v>
                </c:pt>
                <c:pt idx="33">
                  <c:v>7.1</c:v>
                </c:pt>
                <c:pt idx="34">
                  <c:v>7.6</c:v>
                </c:pt>
                <c:pt idx="35">
                  <c:v>8.5</c:v>
                </c:pt>
                <c:pt idx="36">
                  <c:v>7.5</c:v>
                </c:pt>
                <c:pt idx="37">
                  <c:v>8</c:v>
                </c:pt>
                <c:pt idx="38">
                  <c:v>5.2</c:v>
                </c:pt>
                <c:pt idx="39">
                  <c:v>6.5</c:v>
                </c:pt>
                <c:pt idx="40">
                  <c:v>8</c:v>
                </c:pt>
                <c:pt idx="41">
                  <c:v>6.9</c:v>
                </c:pt>
                <c:pt idx="42">
                  <c:v>7.6</c:v>
                </c:pt>
                <c:pt idx="43">
                  <c:v>6.5</c:v>
                </c:pt>
                <c:pt idx="44">
                  <c:v>5.5</c:v>
                </c:pt>
                <c:pt idx="45">
                  <c:v>6</c:v>
                </c:pt>
                <c:pt idx="46">
                  <c:v>5.5</c:v>
                </c:pt>
                <c:pt idx="47">
                  <c:v>7.6</c:v>
                </c:pt>
                <c:pt idx="48">
                  <c:v>8.6</c:v>
                </c:pt>
                <c:pt idx="49">
                  <c:v>6.3</c:v>
                </c:pt>
              </c:numCache>
            </c:numRef>
          </c:xVal>
          <c:yVal>
            <c:numRef>
              <c:f>'7 - Scatter Diagram'!$C$2:$C$51</c:f>
              <c:numCache>
                <c:formatCode>General</c:formatCode>
                <c:ptCount val="50"/>
                <c:pt idx="0">
                  <c:v>1046</c:v>
                </c:pt>
                <c:pt idx="1">
                  <c:v>1030</c:v>
                </c:pt>
                <c:pt idx="2">
                  <c:v>1039</c:v>
                </c:pt>
                <c:pt idx="3">
                  <c:v>1027</c:v>
                </c:pt>
                <c:pt idx="4">
                  <c:v>1028</c:v>
                </c:pt>
                <c:pt idx="5">
                  <c:v>1025</c:v>
                </c:pt>
                <c:pt idx="6">
                  <c:v>1035</c:v>
                </c:pt>
                <c:pt idx="7">
                  <c:v>1015</c:v>
                </c:pt>
                <c:pt idx="8">
                  <c:v>1038</c:v>
                </c:pt>
                <c:pt idx="9">
                  <c:v>1036</c:v>
                </c:pt>
                <c:pt idx="10">
                  <c:v>1026</c:v>
                </c:pt>
                <c:pt idx="11">
                  <c:v>1041</c:v>
                </c:pt>
                <c:pt idx="12">
                  <c:v>1029</c:v>
                </c:pt>
                <c:pt idx="13">
                  <c:v>1010</c:v>
                </c:pt>
                <c:pt idx="14">
                  <c:v>1020</c:v>
                </c:pt>
                <c:pt idx="15">
                  <c:v>1024</c:v>
                </c:pt>
                <c:pt idx="16">
                  <c:v>1034</c:v>
                </c:pt>
                <c:pt idx="17">
                  <c:v>1036</c:v>
                </c:pt>
                <c:pt idx="18">
                  <c:v>1023</c:v>
                </c:pt>
                <c:pt idx="19">
                  <c:v>1011</c:v>
                </c:pt>
                <c:pt idx="20">
                  <c:v>1030</c:v>
                </c:pt>
                <c:pt idx="21">
                  <c:v>1014</c:v>
                </c:pt>
                <c:pt idx="22">
                  <c:v>1030</c:v>
                </c:pt>
                <c:pt idx="23">
                  <c:v>1016</c:v>
                </c:pt>
                <c:pt idx="24">
                  <c:v>1020</c:v>
                </c:pt>
                <c:pt idx="25">
                  <c:v>1040</c:v>
                </c:pt>
                <c:pt idx="26">
                  <c:v>1013</c:v>
                </c:pt>
                <c:pt idx="27">
                  <c:v>1025</c:v>
                </c:pt>
                <c:pt idx="28">
                  <c:v>1020</c:v>
                </c:pt>
                <c:pt idx="29">
                  <c:v>1022</c:v>
                </c:pt>
                <c:pt idx="30">
                  <c:v>1020</c:v>
                </c:pt>
                <c:pt idx="31">
                  <c:v>1035</c:v>
                </c:pt>
                <c:pt idx="32">
                  <c:v>1052</c:v>
                </c:pt>
                <c:pt idx="33">
                  <c:v>1021</c:v>
                </c:pt>
                <c:pt idx="34">
                  <c:v>1024</c:v>
                </c:pt>
                <c:pt idx="35">
                  <c:v>1029</c:v>
                </c:pt>
                <c:pt idx="36">
                  <c:v>1015</c:v>
                </c:pt>
                <c:pt idx="37">
                  <c:v>1030</c:v>
                </c:pt>
                <c:pt idx="38">
                  <c:v>1010</c:v>
                </c:pt>
                <c:pt idx="39">
                  <c:v>1025</c:v>
                </c:pt>
                <c:pt idx="40">
                  <c:v>1031</c:v>
                </c:pt>
                <c:pt idx="41">
                  <c:v>1030</c:v>
                </c:pt>
                <c:pt idx="42">
                  <c:v>1034</c:v>
                </c:pt>
                <c:pt idx="43">
                  <c:v>1034</c:v>
                </c:pt>
                <c:pt idx="44">
                  <c:v>1020</c:v>
                </c:pt>
                <c:pt idx="45">
                  <c:v>1025</c:v>
                </c:pt>
                <c:pt idx="46">
                  <c:v>1023</c:v>
                </c:pt>
                <c:pt idx="47">
                  <c:v>1028</c:v>
                </c:pt>
                <c:pt idx="48">
                  <c:v>1020</c:v>
                </c:pt>
                <c:pt idx="49">
                  <c:v>1026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C-4DEE-AC3E-CACB728CE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483008"/>
        <c:axId val="1679483968"/>
      </c:scatterChart>
      <c:valAx>
        <c:axId val="167948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483968"/>
        <c:crosses val="autoZero"/>
        <c:crossBetween val="midCat"/>
      </c:valAx>
      <c:valAx>
        <c:axId val="16794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4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54F7FF17-4334-4213-830E-93884DF0FE45}">
          <cx:tx>
            <cx:txData>
              <cx:f>_xlchart.v1.0</cx:f>
              <cx:v>Thickness (Data)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2060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.100000001"/>
        <cx:tickLabels/>
        <cx:numFmt formatCode="#,##0.00" sourceLinked="0"/>
        <cx:spPr>
          <a:ln>
            <a:solidFill>
              <a:srgbClr val="00206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  <cx:spPr>
          <a:ln>
            <a:solidFill>
              <a:srgbClr val="00206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plotArea>
      <cx:plotAreaRegion>
        <cx:series layoutId="clusteredColumn" uniqueId="{B61AF830-1F99-461B-93EE-FBE059B2E760}">
          <cx:tx>
            <cx:txData>
              <cx:f>_xlchart.v1.3</cx:f>
              <cx:v>Count</cx:v>
            </cx:txData>
          </cx:tx>
          <cx:spPr>
            <a:solidFill>
              <a:srgbClr val="DAE3F3"/>
            </a:solidFill>
            <a:ln>
              <a:solidFill>
                <a:schemeClr val="accent1"/>
              </a:solidFill>
            </a:ln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>
                    <a:solidFill>
                      <a:srgbClr val="0070C0"/>
                    </a:solidFill>
                  </a:defRPr>
                </a:pPr>
                <a:endParaRPr lang="en-US" sz="1800" b="0" i="0" u="none" strike="noStrike" baseline="0">
                  <a:solidFill>
                    <a:srgbClr val="0070C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B34F60AD-5146-4928-AF91-BD367FBC401C}">
          <cx:spPr>
            <a:ln>
              <a:solidFill>
                <a:srgbClr val="C00000"/>
              </a:solidFill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192769</xdr:colOff>
      <xdr:row>0</xdr:row>
      <xdr:rowOff>163287</xdr:rowOff>
    </xdr:from>
    <xdr:to>
      <xdr:col>19</xdr:col>
      <xdr:colOff>476251</xdr:colOff>
      <xdr:row>48</xdr:row>
      <xdr:rowOff>108859</xdr:rowOff>
    </xdr:to>
    <xdr:grpSp>
      <xdr:nvGrpSpPr>
        <xdr:cNvPr id="466" name="Group 48">
          <a:extLst>
            <a:ext uri="{FF2B5EF4-FFF2-40B4-BE49-F238E27FC236}">
              <a16:creationId xmlns:a16="http://schemas.microsoft.com/office/drawing/2014/main" id="{DEAC2014-529C-DD30-4EC7-5C5CF6DAAF35}"/>
            </a:ext>
          </a:extLst>
        </xdr:cNvPr>
        <xdr:cNvGrpSpPr/>
      </xdr:nvGrpSpPr>
      <xdr:grpSpPr>
        <a:xfrm>
          <a:off x="192769" y="163287"/>
          <a:ext cx="11865882" cy="8757063"/>
          <a:chOff x="415018" y="163287"/>
          <a:chExt cx="13094607" cy="9089572"/>
        </a:xfrm>
      </xdr:grpSpPr>
      <xdr:sp macro="" textlink="">
        <xdr:nvSpPr>
          <xdr:cNvPr id="467" name="TextBox 9">
            <a:extLst>
              <a:ext uri="{FF2B5EF4-FFF2-40B4-BE49-F238E27FC236}">
                <a16:creationId xmlns:a16="http://schemas.microsoft.com/office/drawing/2014/main" id="{BE67702E-B2AA-4E2A-9966-C5351583DE1A}"/>
              </a:ext>
            </a:extLst>
          </xdr:cNvPr>
          <xdr:cNvSpPr txBox="1"/>
        </xdr:nvSpPr>
        <xdr:spPr>
          <a:xfrm>
            <a:off x="8129179" y="223157"/>
            <a:ext cx="1362809" cy="438150"/>
          </a:xfrm>
          <a:prstGeom prst="rect">
            <a:avLst/>
          </a:prstGeom>
          <a:solidFill>
            <a:schemeClr val="bg1">
              <a:lumMod val="95000"/>
              <a:alpha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t"/>
          <a:lstStyle/>
          <a:p>
            <a:r>
              <a:rPr lang="en-GB" sz="1100">
                <a:solidFill>
                  <a:srgbClr val="0070C0"/>
                </a:solidFill>
              </a:rPr>
              <a:t>John</a:t>
            </a:r>
          </a:p>
        </xdr:txBody>
      </xdr:sp>
      <xdr:sp macro="" textlink="">
        <xdr:nvSpPr>
          <xdr:cNvPr id="468" name="TextBox 10">
            <a:extLst>
              <a:ext uri="{FF2B5EF4-FFF2-40B4-BE49-F238E27FC236}">
                <a16:creationId xmlns:a16="http://schemas.microsoft.com/office/drawing/2014/main" id="{2EF6E2BB-BDB5-4977-B1F0-C06010AF7BE0}"/>
              </a:ext>
            </a:extLst>
          </xdr:cNvPr>
          <xdr:cNvSpPr txBox="1"/>
        </xdr:nvSpPr>
        <xdr:spPr>
          <a:xfrm>
            <a:off x="10347325" y="200025"/>
            <a:ext cx="1263650" cy="438150"/>
          </a:xfrm>
          <a:prstGeom prst="rect">
            <a:avLst/>
          </a:prstGeom>
          <a:solidFill>
            <a:schemeClr val="bg1">
              <a:lumMod val="95000"/>
              <a:alpha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t"/>
          <a:lstStyle/>
          <a:p>
            <a:r>
              <a:rPr lang="en-GB" sz="1100">
                <a:solidFill>
                  <a:srgbClr val="0070C0"/>
                </a:solidFill>
              </a:rPr>
              <a:t>29/3/2024</a:t>
            </a:r>
          </a:p>
        </xdr:txBody>
      </xdr:sp>
      <xdr:sp macro="" textlink="">
        <xdr:nvSpPr>
          <xdr:cNvPr id="469" name="Rectangle: Rounded Corners 47">
            <a:extLst>
              <a:ext uri="{FF2B5EF4-FFF2-40B4-BE49-F238E27FC236}">
                <a16:creationId xmlns:a16="http://schemas.microsoft.com/office/drawing/2014/main" id="{719C7024-58DC-7D6E-5FB0-4673C1B77203}"/>
              </a:ext>
            </a:extLst>
          </xdr:cNvPr>
          <xdr:cNvSpPr/>
        </xdr:nvSpPr>
        <xdr:spPr>
          <a:xfrm>
            <a:off x="415018" y="163287"/>
            <a:ext cx="13094607" cy="9089572"/>
          </a:xfrm>
          <a:prstGeom prst="roundRect">
            <a:avLst>
              <a:gd name="adj" fmla="val 1918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70" name="Group 13">
            <a:extLst>
              <a:ext uri="{FF2B5EF4-FFF2-40B4-BE49-F238E27FC236}">
                <a16:creationId xmlns:a16="http://schemas.microsoft.com/office/drawing/2014/main" id="{164A78D6-DB47-49D7-B9BE-3E39497937C5}"/>
              </a:ext>
            </a:extLst>
          </xdr:cNvPr>
          <xdr:cNvGrpSpPr/>
        </xdr:nvGrpSpPr>
        <xdr:grpSpPr>
          <a:xfrm>
            <a:off x="540879" y="280545"/>
            <a:ext cx="12875502" cy="8868132"/>
            <a:chOff x="1990724" y="1923414"/>
            <a:chExt cx="5960055" cy="4045197"/>
          </a:xfrm>
        </xdr:grpSpPr>
        <xdr:sp macro="" textlink="">
          <xdr:nvSpPr>
            <xdr:cNvPr id="471" name="Rectangle 15">
              <a:extLst>
                <a:ext uri="{FF2B5EF4-FFF2-40B4-BE49-F238E27FC236}">
                  <a16:creationId xmlns:a16="http://schemas.microsoft.com/office/drawing/2014/main" id="{89B9C6CB-2A48-1FD4-0841-B97DB6F4C11C}"/>
                </a:ext>
              </a:extLst>
            </xdr:cNvPr>
            <xdr:cNvSpPr/>
          </xdr:nvSpPr>
          <xdr:spPr>
            <a:xfrm>
              <a:off x="1990725" y="1928380"/>
              <a:ext cx="2647950" cy="25237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36000" tIns="36000" rIns="36000" bIns="36000" rtlCol="0" anchor="t" anchorCtr="0">
              <a:normAutofit lnSpcReduction="10000"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 b="1">
                  <a:solidFill>
                    <a:schemeClr val="tx1"/>
                  </a:solidFill>
                </a:rPr>
                <a:t>Title</a:t>
              </a:r>
              <a:r>
                <a:rPr lang="en-US" sz="1200">
                  <a:solidFill>
                    <a:schemeClr val="tx1"/>
                  </a:solidFill>
                </a:rPr>
                <a:t>: What are you Talking About</a:t>
              </a:r>
              <a:endParaRPr lang="en-GB" sz="1200">
                <a:solidFill>
                  <a:schemeClr val="tx1"/>
                </a:solidFill>
              </a:endParaRPr>
            </a:p>
          </xdr:txBody>
        </xdr:sp>
        <xdr:grpSp>
          <xdr:nvGrpSpPr>
            <xdr:cNvPr id="472" name="Group 16">
              <a:extLst>
                <a:ext uri="{FF2B5EF4-FFF2-40B4-BE49-F238E27FC236}">
                  <a16:creationId xmlns:a16="http://schemas.microsoft.com/office/drawing/2014/main" id="{F0360765-45B8-7207-A74C-6B34544DCF69}"/>
                </a:ext>
              </a:extLst>
            </xdr:cNvPr>
            <xdr:cNvGrpSpPr/>
          </xdr:nvGrpSpPr>
          <xdr:grpSpPr>
            <a:xfrm>
              <a:off x="1990724" y="2149793"/>
              <a:ext cx="2873954" cy="733107"/>
              <a:chOff x="2143124" y="2206943"/>
              <a:chExt cx="2873954" cy="733107"/>
            </a:xfrm>
          </xdr:grpSpPr>
          <xdr:sp macro="" textlink="">
            <xdr:nvSpPr>
              <xdr:cNvPr id="473" name="Rectangle: Rounded Corners 43">
                <a:extLst>
                  <a:ext uri="{FF2B5EF4-FFF2-40B4-BE49-F238E27FC236}">
                    <a16:creationId xmlns:a16="http://schemas.microsoft.com/office/drawing/2014/main" id="{F958B6A2-B313-AC20-86E0-CEA7CD9DD288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400" b="1">
                    <a:solidFill>
                      <a:schemeClr val="tx1"/>
                    </a:solidFill>
                  </a:rPr>
                  <a:t>I. Background </a:t>
                </a:r>
                <a:endParaRPr lang="en-GB" sz="1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74" name="Rectangle: Rounded Corners 44">
                <a:extLst>
                  <a:ext uri="{FF2B5EF4-FFF2-40B4-BE49-F238E27FC236}">
                    <a16:creationId xmlns:a16="http://schemas.microsoft.com/office/drawing/2014/main" id="{F18B027E-7770-D8CE-7A65-C0AA42A7269D}"/>
                  </a:ext>
                </a:extLst>
              </xdr:cNvPr>
              <xdr:cNvSpPr/>
            </xdr:nvSpPr>
            <xdr:spPr>
              <a:xfrm>
                <a:off x="2143124" y="2399068"/>
                <a:ext cx="2873954" cy="540982"/>
              </a:xfrm>
              <a:prstGeom prst="roundRect">
                <a:avLst>
                  <a:gd name="adj" fmla="val 858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/>
                <a:r>
                  <a:rPr lang="en-US" sz="16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Why are you talking about it?</a:t>
                </a:r>
                <a:endParaRPr lang="en-GB" sz="16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475" name="Group 17">
              <a:extLst>
                <a:ext uri="{FF2B5EF4-FFF2-40B4-BE49-F238E27FC236}">
                  <a16:creationId xmlns:a16="http://schemas.microsoft.com/office/drawing/2014/main" id="{90D3B668-8B3C-A1AC-3D37-733CBFCB761C}"/>
                </a:ext>
              </a:extLst>
            </xdr:cNvPr>
            <xdr:cNvGrpSpPr/>
          </xdr:nvGrpSpPr>
          <xdr:grpSpPr>
            <a:xfrm>
              <a:off x="1990724" y="2933060"/>
              <a:ext cx="2873954" cy="1213489"/>
              <a:chOff x="2143124" y="2206943"/>
              <a:chExt cx="2873954" cy="1213489"/>
            </a:xfrm>
          </xdr:grpSpPr>
          <xdr:sp macro="" textlink="">
            <xdr:nvSpPr>
              <xdr:cNvPr id="476" name="Rectangle: Rounded Corners 41">
                <a:extLst>
                  <a:ext uri="{FF2B5EF4-FFF2-40B4-BE49-F238E27FC236}">
                    <a16:creationId xmlns:a16="http://schemas.microsoft.com/office/drawing/2014/main" id="{C9146237-2BEE-3C43-9005-3B71BE96B517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II. Current Conditions 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77" name="Rectangle: Rounded Corners 42">
                <a:extLst>
                  <a:ext uri="{FF2B5EF4-FFF2-40B4-BE49-F238E27FC236}">
                    <a16:creationId xmlns:a16="http://schemas.microsoft.com/office/drawing/2014/main" id="{6E5E6AE4-287C-4B55-F760-FCEDDAC60B3B}"/>
                  </a:ext>
                </a:extLst>
              </xdr:cNvPr>
              <xdr:cNvSpPr/>
            </xdr:nvSpPr>
            <xdr:spPr>
              <a:xfrm>
                <a:off x="2143124" y="2399067"/>
                <a:ext cx="2873954" cy="1021365"/>
              </a:xfrm>
              <a:prstGeom prst="roundRect">
                <a:avLst>
                  <a:gd name="adj" fmla="val 485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is the problem?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 defTabSz="914400" rtl="0" eaLnBrk="1" latinLnBrk="0" hangingPunct="1"/>
                <a:endParaRPr lang="en-US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Where do things stand today?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    • Show visually using charts, graphs,      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      drawings, maps, etc.</a:t>
                </a:r>
              </a:p>
            </xdr:txBody>
          </xdr:sp>
        </xdr:grpSp>
        <xdr:grpSp>
          <xdr:nvGrpSpPr>
            <xdr:cNvPr id="478" name="Group 18">
              <a:extLst>
                <a:ext uri="{FF2B5EF4-FFF2-40B4-BE49-F238E27FC236}">
                  <a16:creationId xmlns:a16="http://schemas.microsoft.com/office/drawing/2014/main" id="{7BD54139-E9E7-2630-EF84-0FED090598B5}"/>
                </a:ext>
              </a:extLst>
            </xdr:cNvPr>
            <xdr:cNvGrpSpPr/>
          </xdr:nvGrpSpPr>
          <xdr:grpSpPr>
            <a:xfrm>
              <a:off x="1990724" y="4204337"/>
              <a:ext cx="2873954" cy="733107"/>
              <a:chOff x="2143124" y="2206943"/>
              <a:chExt cx="2873954" cy="733107"/>
            </a:xfrm>
          </xdr:grpSpPr>
          <xdr:sp macro="" textlink="">
            <xdr:nvSpPr>
              <xdr:cNvPr id="479" name="Rectangle: Rounded Corners 39">
                <a:extLst>
                  <a:ext uri="{FF2B5EF4-FFF2-40B4-BE49-F238E27FC236}">
                    <a16:creationId xmlns:a16="http://schemas.microsoft.com/office/drawing/2014/main" id="{B790E393-FCA5-7249-B847-674DF0805D8F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III. Goals / Targets 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0" name="Rectangle: Rounded Corners 40">
                <a:extLst>
                  <a:ext uri="{FF2B5EF4-FFF2-40B4-BE49-F238E27FC236}">
                    <a16:creationId xmlns:a16="http://schemas.microsoft.com/office/drawing/2014/main" id="{349AFB4A-F7E6-7BCE-295B-00D548603C02}"/>
                  </a:ext>
                </a:extLst>
              </xdr:cNvPr>
              <xdr:cNvSpPr/>
            </xdr:nvSpPr>
            <xdr:spPr>
              <a:xfrm>
                <a:off x="2143124" y="2399068"/>
                <a:ext cx="2873954" cy="540982"/>
              </a:xfrm>
              <a:prstGeom prst="roundRect">
                <a:avLst>
                  <a:gd name="adj" fmla="val 858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specific outcomes are required?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481" name="Group 19">
              <a:extLst>
                <a:ext uri="{FF2B5EF4-FFF2-40B4-BE49-F238E27FC236}">
                  <a16:creationId xmlns:a16="http://schemas.microsoft.com/office/drawing/2014/main" id="{4D44BA0F-0A75-88AA-BBE9-7BBCC68981FB}"/>
                </a:ext>
              </a:extLst>
            </xdr:cNvPr>
            <xdr:cNvGrpSpPr/>
          </xdr:nvGrpSpPr>
          <xdr:grpSpPr>
            <a:xfrm>
              <a:off x="1990724" y="4993638"/>
              <a:ext cx="2873954" cy="974973"/>
              <a:chOff x="2143124" y="2206943"/>
              <a:chExt cx="2873954" cy="974973"/>
            </a:xfrm>
          </xdr:grpSpPr>
          <xdr:sp macro="" textlink="">
            <xdr:nvSpPr>
              <xdr:cNvPr id="482" name="Rectangle: Rounded Corners 37">
                <a:extLst>
                  <a:ext uri="{FF2B5EF4-FFF2-40B4-BE49-F238E27FC236}">
                    <a16:creationId xmlns:a16="http://schemas.microsoft.com/office/drawing/2014/main" id="{F90A7FB9-9D17-9856-3EB3-79216E3B2309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IV. Analyze 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3" name="Rectangle: Rounded Corners 38">
                <a:extLst>
                  <a:ext uri="{FF2B5EF4-FFF2-40B4-BE49-F238E27FC236}">
                    <a16:creationId xmlns:a16="http://schemas.microsoft.com/office/drawing/2014/main" id="{7FE6B862-0B8F-F2B3-168A-4881FAE77EEC}"/>
                  </a:ext>
                </a:extLst>
              </xdr:cNvPr>
              <xdr:cNvSpPr/>
            </xdr:nvSpPr>
            <xdr:spPr>
              <a:xfrm>
                <a:off x="2143124" y="2399068"/>
                <a:ext cx="2873954" cy="782848"/>
              </a:xfrm>
              <a:prstGeom prst="roundRect">
                <a:avLst>
                  <a:gd name="adj" fmla="val 485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is the cause(S) Of the problem?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- Choose the simplest problem-analysis tool that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clearly shows the cause-and-effect relationship.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484" name="Group 20">
              <a:extLst>
                <a:ext uri="{FF2B5EF4-FFF2-40B4-BE49-F238E27FC236}">
                  <a16:creationId xmlns:a16="http://schemas.microsoft.com/office/drawing/2014/main" id="{EA5BA37C-C630-5173-53C5-2ADDD68A2B48}"/>
                </a:ext>
              </a:extLst>
            </xdr:cNvPr>
            <xdr:cNvGrpSpPr/>
          </xdr:nvGrpSpPr>
          <xdr:grpSpPr>
            <a:xfrm>
              <a:off x="5076825" y="2149112"/>
              <a:ext cx="2873954" cy="1159239"/>
              <a:chOff x="2143124" y="2206943"/>
              <a:chExt cx="2873954" cy="1159239"/>
            </a:xfrm>
          </xdr:grpSpPr>
          <xdr:sp macro="" textlink="">
            <xdr:nvSpPr>
              <xdr:cNvPr id="485" name="Rectangle: Rounded Corners 35">
                <a:extLst>
                  <a:ext uri="{FF2B5EF4-FFF2-40B4-BE49-F238E27FC236}">
                    <a16:creationId xmlns:a16="http://schemas.microsoft.com/office/drawing/2014/main" id="{D171EDDE-26A8-2D5D-6310-757866E42D2A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V. Proposed Countermeasures 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6" name="Rectangle: Rounded Corners 36">
                <a:extLst>
                  <a:ext uri="{FF2B5EF4-FFF2-40B4-BE49-F238E27FC236}">
                    <a16:creationId xmlns:a16="http://schemas.microsoft.com/office/drawing/2014/main" id="{62E52319-5033-07CA-962A-6FC8C647F592}"/>
                  </a:ext>
                </a:extLst>
              </xdr:cNvPr>
              <xdr:cNvSpPr/>
            </xdr:nvSpPr>
            <xdr:spPr>
              <a:xfrm>
                <a:off x="2143124" y="2399068"/>
                <a:ext cx="2873954" cy="967114"/>
              </a:xfrm>
              <a:prstGeom prst="roundRect">
                <a:avLst>
                  <a:gd name="adj" fmla="val 485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is your proposal to reach the future state,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the target condition?</a:t>
                </a:r>
              </a:p>
              <a:p>
                <a:pPr marL="0" indent="0" algn="l" defTabSz="914400" rtl="0" eaLnBrk="1" latinLnBrk="0" hangingPunct="1"/>
                <a:endParaRPr lang="en-US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How will your recommended countermeasures affect the root cause to achieve the target?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487" name="Group 21">
              <a:extLst>
                <a:ext uri="{FF2B5EF4-FFF2-40B4-BE49-F238E27FC236}">
                  <a16:creationId xmlns:a16="http://schemas.microsoft.com/office/drawing/2014/main" id="{C238401D-7F98-B1E3-2ED0-859FA1C96644}"/>
                </a:ext>
              </a:extLst>
            </xdr:cNvPr>
            <xdr:cNvGrpSpPr/>
          </xdr:nvGrpSpPr>
          <xdr:grpSpPr>
            <a:xfrm>
              <a:off x="5076825" y="3373637"/>
              <a:ext cx="2873954" cy="1563807"/>
              <a:chOff x="2143124" y="2206943"/>
              <a:chExt cx="2873954" cy="1563807"/>
            </a:xfrm>
          </xdr:grpSpPr>
          <xdr:sp macro="" textlink="">
            <xdr:nvSpPr>
              <xdr:cNvPr id="488" name="Rectangle: Rounded Corners 33">
                <a:extLst>
                  <a:ext uri="{FF2B5EF4-FFF2-40B4-BE49-F238E27FC236}">
                    <a16:creationId xmlns:a16="http://schemas.microsoft.com/office/drawing/2014/main" id="{F84F83A6-5C51-12DF-99F9-2E0FB1B19DC8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VI. Plan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9" name="Rectangle: Rounded Corners 34">
                <a:extLst>
                  <a:ext uri="{FF2B5EF4-FFF2-40B4-BE49-F238E27FC236}">
                    <a16:creationId xmlns:a16="http://schemas.microsoft.com/office/drawing/2014/main" id="{B31893C8-B8EC-53C8-F45C-CE9191C9D2C5}"/>
                  </a:ext>
                </a:extLst>
              </xdr:cNvPr>
              <xdr:cNvSpPr/>
            </xdr:nvSpPr>
            <xdr:spPr>
              <a:xfrm>
                <a:off x="2143124" y="2399068"/>
                <a:ext cx="2873954" cy="1371682"/>
              </a:xfrm>
              <a:prstGeom prst="roundRect">
                <a:avLst>
                  <a:gd name="adj" fmla="val 485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activities Will be required for implementation and who will be responsible for what and when?</a:t>
                </a:r>
              </a:p>
              <a:p>
                <a:pPr marL="0" indent="0" algn="l" defTabSz="914400" rtl="0" eaLnBrk="1" latinLnBrk="0" hangingPunct="1"/>
                <a:endParaRPr lang="en-US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are the indicators of performance or progress?</a:t>
                </a:r>
              </a:p>
              <a:p>
                <a:pPr marL="0" indent="0" algn="l" defTabSz="914400" rtl="0" eaLnBrk="1" latinLnBrk="0" hangingPunct="1"/>
                <a:endParaRPr lang="en-US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• Incorporate a Gantt chart Or similar diagram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that shows actions/outcomes, timeline, and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responsibilities. May include on specific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means of implementation.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490" name="Group 22">
              <a:extLst>
                <a:ext uri="{FF2B5EF4-FFF2-40B4-BE49-F238E27FC236}">
                  <a16:creationId xmlns:a16="http://schemas.microsoft.com/office/drawing/2014/main" id="{E7B28968-5DF3-134E-0E78-091923E3E6D1}"/>
                </a:ext>
              </a:extLst>
            </xdr:cNvPr>
            <xdr:cNvGrpSpPr/>
          </xdr:nvGrpSpPr>
          <xdr:grpSpPr>
            <a:xfrm>
              <a:off x="5076825" y="4993638"/>
              <a:ext cx="2873954" cy="974972"/>
              <a:chOff x="2143124" y="2206943"/>
              <a:chExt cx="2873954" cy="974972"/>
            </a:xfrm>
          </xdr:grpSpPr>
          <xdr:sp macro="" textlink="">
            <xdr:nvSpPr>
              <xdr:cNvPr id="491" name="Rectangle: Rounded Corners 31">
                <a:extLst>
                  <a:ext uri="{FF2B5EF4-FFF2-40B4-BE49-F238E27FC236}">
                    <a16:creationId xmlns:a16="http://schemas.microsoft.com/office/drawing/2014/main" id="{9859D5AC-9AFE-327C-220D-3CF3452EEAD5}"/>
                  </a:ext>
                </a:extLst>
              </xdr:cNvPr>
              <xdr:cNvSpPr/>
            </xdr:nvSpPr>
            <xdr:spPr>
              <a:xfrm>
                <a:off x="2143124" y="2206943"/>
                <a:ext cx="2873954" cy="16002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36000" tIns="0" rIns="36000" bIns="0" rtlCol="0" anchor="ctr" anchorCtr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4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VII. Follow-up </a:t>
                </a:r>
                <a:endParaRPr lang="en-GB" sz="1400" b="1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92" name="Rectangle: Rounded Corners 32">
                <a:extLst>
                  <a:ext uri="{FF2B5EF4-FFF2-40B4-BE49-F238E27FC236}">
                    <a16:creationId xmlns:a16="http://schemas.microsoft.com/office/drawing/2014/main" id="{4F525492-B4F2-C997-8236-D2FAA5217683}"/>
                  </a:ext>
                </a:extLst>
              </xdr:cNvPr>
              <xdr:cNvSpPr/>
            </xdr:nvSpPr>
            <xdr:spPr>
              <a:xfrm>
                <a:off x="2143124" y="2399068"/>
                <a:ext cx="2873954" cy="782847"/>
              </a:xfrm>
              <a:prstGeom prst="roundRect">
                <a:avLst>
                  <a:gd name="adj" fmla="val 4850"/>
                </a:avLst>
              </a:prstGeom>
              <a:solidFill>
                <a:schemeClr val="bg1">
                  <a:lumMod val="95000"/>
                  <a:alpha val="50000"/>
                </a:schemeClr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36000" tIns="36000" rIns="36000" bIns="36000" rtlCol="0" anchor="t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What issues Can be anticipated?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• Ensure ongoing PDCA.</a:t>
                </a:r>
              </a:p>
              <a:p>
                <a:pPr marL="0" indent="0" algn="l" defTabSz="914400" rtl="0" eaLnBrk="1" latinLnBrk="0" hangingPunct="1"/>
                <a:r>
                  <a:rPr lang="en-US" sz="1600" kern="12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- Capture and share</a:t>
                </a:r>
                <a:endParaRPr lang="en-GB" sz="1600" kern="12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493" name="Rectangle 23">
              <a:extLst>
                <a:ext uri="{FF2B5EF4-FFF2-40B4-BE49-F238E27FC236}">
                  <a16:creationId xmlns:a16="http://schemas.microsoft.com/office/drawing/2014/main" id="{20C8B682-54FB-4614-F171-3F443E161847}"/>
                </a:ext>
              </a:extLst>
            </xdr:cNvPr>
            <xdr:cNvSpPr/>
          </xdr:nvSpPr>
          <xdr:spPr>
            <a:xfrm>
              <a:off x="5060930" y="1928380"/>
              <a:ext cx="376867" cy="915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36000" tIns="36000" rIns="36000" bIns="36000" rtlCol="0" anchor="t" anchorCtr="0">
              <a:normAutofit lnSpcReduction="10000"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 b="1">
                  <a:solidFill>
                    <a:schemeClr val="tx1"/>
                  </a:solidFill>
                </a:rPr>
                <a:t>Owner:</a:t>
              </a:r>
              <a:endParaRPr lang="en-GB" sz="12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94" name="Rectangle 46">
              <a:extLst>
                <a:ext uri="{FF2B5EF4-FFF2-40B4-BE49-F238E27FC236}">
                  <a16:creationId xmlns:a16="http://schemas.microsoft.com/office/drawing/2014/main" id="{37B70A9C-714A-5D7C-225D-D307250D9AE4}"/>
                </a:ext>
              </a:extLst>
            </xdr:cNvPr>
            <xdr:cNvSpPr/>
          </xdr:nvSpPr>
          <xdr:spPr>
            <a:xfrm>
              <a:off x="6213928" y="1923414"/>
              <a:ext cx="251660" cy="14016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36000" tIns="36000" rIns="36000" bIns="36000" rtlCol="0" anchor="t" anchorCtr="0">
              <a:normAutofit lnSpcReduction="10000"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 b="1">
                  <a:solidFill>
                    <a:schemeClr val="tx1"/>
                  </a:solidFill>
                </a:rPr>
                <a:t>Date</a:t>
              </a:r>
              <a:endParaRPr lang="en-GB" sz="1200" b="1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5</xdr:row>
      <xdr:rowOff>85725</xdr:rowOff>
    </xdr:from>
    <xdr:to>
      <xdr:col>20</xdr:col>
      <xdr:colOff>19050</xdr:colOff>
      <xdr:row>32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7BDB71-4559-2D4A-61ED-79389DD322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71950" y="1000125"/>
              <a:ext cx="8542020" cy="5033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264470</xdr:colOff>
      <xdr:row>15</xdr:row>
      <xdr:rowOff>86317</xdr:rowOff>
    </xdr:from>
    <xdr:to>
      <xdr:col>20</xdr:col>
      <xdr:colOff>18663</xdr:colOff>
      <xdr:row>18</xdr:row>
      <xdr:rowOff>153914</xdr:rowOff>
    </xdr:to>
    <xdr:sp macro="" textlink="">
      <xdr:nvSpPr>
        <xdr:cNvPr id="72" name="Rectangle: Rounded Corners 1">
          <a:extLst>
            <a:ext uri="{FF2B5EF4-FFF2-40B4-BE49-F238E27FC236}">
              <a16:creationId xmlns:a16="http://schemas.microsoft.com/office/drawing/2014/main" id="{0BE0ACE5-9489-0BA1-A54C-2600118E5738}"/>
            </a:ext>
          </a:extLst>
        </xdr:cNvPr>
        <xdr:cNvSpPr/>
      </xdr:nvSpPr>
      <xdr:spPr>
        <a:xfrm>
          <a:off x="10627670" y="2943817"/>
          <a:ext cx="1582993" cy="639097"/>
        </a:xfrm>
        <a:prstGeom prst="roundRect">
          <a:avLst/>
        </a:prstGeom>
        <a:ln w="38100">
          <a:solidFill>
            <a:srgbClr val="C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overflow" horzOverflow="overflow"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chemeClr val="tx1"/>
              </a:solidFill>
            </a:rPr>
            <a:t>Defect rate</a:t>
          </a:r>
          <a:r>
            <a:rPr lang="en-US" sz="1200" b="1" baseline="0">
              <a:solidFill>
                <a:schemeClr val="tx1"/>
              </a:solidFill>
            </a:rPr>
            <a:t> 10%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48160</xdr:colOff>
      <xdr:row>17</xdr:row>
      <xdr:rowOff>24865</xdr:rowOff>
    </xdr:from>
    <xdr:to>
      <xdr:col>17</xdr:col>
      <xdr:colOff>264470</xdr:colOff>
      <xdr:row>17</xdr:row>
      <xdr:rowOff>29007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4B00A4-361C-7940-A3A2-B0CB82151DEF}"/>
            </a:ext>
          </a:extLst>
        </xdr:cNvPr>
        <xdr:cNvCxnSpPr>
          <a:cxnSpLocks/>
          <a:stCxn id="72" idx="1"/>
        </xdr:cNvCxnSpPr>
      </xdr:nvCxnSpPr>
      <xdr:spPr>
        <a:xfrm flipH="1" flipV="1">
          <a:off x="1262943" y="3122561"/>
          <a:ext cx="9327179" cy="4142"/>
        </a:xfrm>
        <a:prstGeom prst="line">
          <a:avLst/>
        </a:prstGeom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362794</xdr:colOff>
      <xdr:row>2</xdr:row>
      <xdr:rowOff>158859</xdr:rowOff>
    </xdr:from>
    <xdr:to>
      <xdr:col>16</xdr:col>
      <xdr:colOff>552067</xdr:colOff>
      <xdr:row>17</xdr:row>
      <xdr:rowOff>24866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88056F1-5E36-A898-6A7A-8FA164B24DE0}"/>
            </a:ext>
          </a:extLst>
        </xdr:cNvPr>
        <xdr:cNvGrpSpPr/>
      </xdr:nvGrpSpPr>
      <xdr:grpSpPr>
        <a:xfrm>
          <a:off x="6477045" y="523889"/>
          <a:ext cx="3857824" cy="2603731"/>
          <a:chOff x="5909189" y="540803"/>
          <a:chExt cx="3846873" cy="2723507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B8E63227-58E1-3B52-8E21-1DBA023A724B}"/>
              </a:ext>
            </a:extLst>
          </xdr:cNvPr>
          <xdr:cNvCxnSpPr>
            <a:cxnSpLocks/>
            <a:endCxn id="52" idx="2"/>
          </xdr:cNvCxnSpPr>
        </xdr:nvCxnSpPr>
        <xdr:spPr>
          <a:xfrm flipH="1" flipV="1">
            <a:off x="7732414" y="1111044"/>
            <a:ext cx="2023648" cy="2153266"/>
          </a:xfrm>
          <a:prstGeom prst="line">
            <a:avLst/>
          </a:prstGeom>
          <a:ln w="38100">
            <a:solidFill>
              <a:srgbClr val="2B34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AF1F1069-38A0-4EC4-B999-721F8136D571}"/>
              </a:ext>
            </a:extLst>
          </xdr:cNvPr>
          <xdr:cNvSpPr/>
        </xdr:nvSpPr>
        <xdr:spPr>
          <a:xfrm>
            <a:off x="6896672" y="540803"/>
            <a:ext cx="1671484" cy="570241"/>
          </a:xfrm>
          <a:prstGeom prst="roundRect">
            <a:avLst/>
          </a:prstGeom>
          <a:solidFill>
            <a:schemeClr val="bg1"/>
          </a:solidFill>
          <a:ln w="38100">
            <a:solidFill>
              <a:srgbClr val="2B34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Tools</a:t>
            </a:r>
          </a:p>
        </xdr:txBody>
      </xdr: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9D4E8C94-7F5B-6679-BA0B-35A7754CA064}"/>
              </a:ext>
            </a:extLst>
          </xdr:cNvPr>
          <xdr:cNvCxnSpPr/>
        </xdr:nvCxnSpPr>
        <xdr:spPr>
          <a:xfrm>
            <a:off x="5909189" y="160265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3A7EE936-FC63-CF1E-8E7F-007670CAEEDD}"/>
              </a:ext>
            </a:extLst>
          </xdr:cNvPr>
          <xdr:cNvCxnSpPr/>
        </xdr:nvCxnSpPr>
        <xdr:spPr>
          <a:xfrm>
            <a:off x="6358189" y="2113933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B4DF5E9B-B7F6-5C4B-6525-CC4E8D39630C}"/>
              </a:ext>
            </a:extLst>
          </xdr:cNvPr>
          <xdr:cNvCxnSpPr/>
        </xdr:nvCxnSpPr>
        <xdr:spPr>
          <a:xfrm>
            <a:off x="6807189" y="262520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" name="Straight Arrow Connector 1">
            <a:extLst>
              <a:ext uri="{FF2B5EF4-FFF2-40B4-BE49-F238E27FC236}">
                <a16:creationId xmlns:a16="http://schemas.microsoft.com/office/drawing/2014/main" id="{BDB04816-88E4-2F84-3D41-01FA8BF99FA0}"/>
              </a:ext>
            </a:extLst>
          </xdr:cNvPr>
          <xdr:cNvCxnSpPr/>
        </xdr:nvCxnSpPr>
        <xdr:spPr>
          <a:xfrm>
            <a:off x="7230726" y="3042651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76024</xdr:colOff>
      <xdr:row>5</xdr:row>
      <xdr:rowOff>157600</xdr:rowOff>
    </xdr:from>
    <xdr:to>
      <xdr:col>12</xdr:col>
      <xdr:colOff>270872</xdr:colOff>
      <xdr:row>17</xdr:row>
      <xdr:rowOff>24866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1B8DA06-7331-EA1E-0254-21E9A27CD14A}"/>
            </a:ext>
          </a:extLst>
        </xdr:cNvPr>
        <xdr:cNvCxnSpPr>
          <a:cxnSpLocks/>
          <a:endCxn id="6" idx="2"/>
        </xdr:cNvCxnSpPr>
      </xdr:nvCxnSpPr>
      <xdr:spPr>
        <a:xfrm flipH="1" flipV="1">
          <a:off x="5562424" y="1110100"/>
          <a:ext cx="2023648" cy="2153266"/>
        </a:xfrm>
        <a:prstGeom prst="line">
          <a:avLst/>
        </a:prstGeom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459482</xdr:colOff>
      <xdr:row>2</xdr:row>
      <xdr:rowOff>158859</xdr:rowOff>
    </xdr:from>
    <xdr:to>
      <xdr:col>10</xdr:col>
      <xdr:colOff>302166</xdr:colOff>
      <xdr:row>5</xdr:row>
      <xdr:rowOff>157600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CDCE2E3-7D4C-E1E6-326F-CE88E7AE2FB2}"/>
            </a:ext>
          </a:extLst>
        </xdr:cNvPr>
        <xdr:cNvSpPr/>
      </xdr:nvSpPr>
      <xdr:spPr>
        <a:xfrm>
          <a:off x="4726682" y="539859"/>
          <a:ext cx="1671484" cy="570241"/>
        </a:xfrm>
        <a:prstGeom prst="roundRect">
          <a:avLst/>
        </a:prstGeom>
        <a:solidFill>
          <a:schemeClr val="bg1"/>
        </a:solidFill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Machine</a:t>
          </a:r>
        </a:p>
      </xdr:txBody>
    </xdr:sp>
    <xdr:clientData/>
  </xdr:twoCellAnchor>
  <xdr:twoCellAnchor>
    <xdr:from>
      <xdr:col>6</xdr:col>
      <xdr:colOff>81599</xdr:colOff>
      <xdr:row>8</xdr:row>
      <xdr:rowOff>77714</xdr:rowOff>
    </xdr:from>
    <xdr:to>
      <xdr:col>9</xdr:col>
      <xdr:colOff>524050</xdr:colOff>
      <xdr:row>8</xdr:row>
      <xdr:rowOff>77714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837C9E0-074B-C660-D540-0E62B8329620}"/>
            </a:ext>
          </a:extLst>
        </xdr:cNvPr>
        <xdr:cNvCxnSpPr/>
      </xdr:nvCxnSpPr>
      <xdr:spPr>
        <a:xfrm>
          <a:off x="3739199" y="1601714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530599</xdr:colOff>
      <xdr:row>11</xdr:row>
      <xdr:rowOff>17489</xdr:rowOff>
    </xdr:from>
    <xdr:to>
      <xdr:col>10</xdr:col>
      <xdr:colOff>363450</xdr:colOff>
      <xdr:row>11</xdr:row>
      <xdr:rowOff>17489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A671A67-84E3-F7DC-9565-5DDBC92973B6}"/>
            </a:ext>
          </a:extLst>
        </xdr:cNvPr>
        <xdr:cNvCxnSpPr/>
      </xdr:nvCxnSpPr>
      <xdr:spPr>
        <a:xfrm>
          <a:off x="4188199" y="2112989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369999</xdr:colOff>
      <xdr:row>13</xdr:row>
      <xdr:rowOff>147764</xdr:rowOff>
    </xdr:from>
    <xdr:to>
      <xdr:col>11</xdr:col>
      <xdr:colOff>202850</xdr:colOff>
      <xdr:row>13</xdr:row>
      <xdr:rowOff>147764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877B7BC-36CB-C0DB-1EEF-0971A17AAFB6}"/>
            </a:ext>
          </a:extLst>
        </xdr:cNvPr>
        <xdr:cNvCxnSpPr/>
      </xdr:nvCxnSpPr>
      <xdr:spPr>
        <a:xfrm>
          <a:off x="4637199" y="2624264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325918</xdr:colOff>
      <xdr:row>5</xdr:row>
      <xdr:rowOff>113041</xdr:rowOff>
    </xdr:from>
    <xdr:to>
      <xdr:col>7</xdr:col>
      <xdr:colOff>520766</xdr:colOff>
      <xdr:row>16</xdr:row>
      <xdr:rowOff>170807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9AFE538-385A-453D-18D5-E3403920788D}"/>
            </a:ext>
          </a:extLst>
        </xdr:cNvPr>
        <xdr:cNvCxnSpPr>
          <a:cxnSpLocks/>
          <a:endCxn id="11" idx="2"/>
        </xdr:cNvCxnSpPr>
      </xdr:nvCxnSpPr>
      <xdr:spPr>
        <a:xfrm flipH="1" flipV="1">
          <a:off x="2764318" y="1065541"/>
          <a:ext cx="2023648" cy="2153266"/>
        </a:xfrm>
        <a:prstGeom prst="line">
          <a:avLst/>
        </a:prstGeom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99776</xdr:colOff>
      <xdr:row>2</xdr:row>
      <xdr:rowOff>114300</xdr:rowOff>
    </xdr:from>
    <xdr:to>
      <xdr:col>5</xdr:col>
      <xdr:colOff>552060</xdr:colOff>
      <xdr:row>5</xdr:row>
      <xdr:rowOff>113041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DF755F9-E373-2BB9-E9A9-E551C40CD12D}"/>
            </a:ext>
          </a:extLst>
        </xdr:cNvPr>
        <xdr:cNvSpPr/>
      </xdr:nvSpPr>
      <xdr:spPr>
        <a:xfrm>
          <a:off x="1928576" y="495300"/>
          <a:ext cx="1671484" cy="570241"/>
        </a:xfrm>
        <a:prstGeom prst="roundRect">
          <a:avLst/>
        </a:prstGeom>
        <a:solidFill>
          <a:schemeClr val="bg1"/>
        </a:solidFill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Material</a:t>
          </a:r>
        </a:p>
      </xdr:txBody>
    </xdr:sp>
    <xdr:clientData/>
  </xdr:twoCellAnchor>
  <xdr:twoCellAnchor>
    <xdr:from>
      <xdr:col>1</xdr:col>
      <xdr:colOff>331493</xdr:colOff>
      <xdr:row>8</xdr:row>
      <xdr:rowOff>33155</xdr:rowOff>
    </xdr:from>
    <xdr:to>
      <xdr:col>5</xdr:col>
      <xdr:colOff>164344</xdr:colOff>
      <xdr:row>8</xdr:row>
      <xdr:rowOff>33155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682A454-AB5E-429C-09EB-E485FAD1D991}"/>
            </a:ext>
          </a:extLst>
        </xdr:cNvPr>
        <xdr:cNvCxnSpPr/>
      </xdr:nvCxnSpPr>
      <xdr:spPr>
        <a:xfrm>
          <a:off x="941093" y="1557155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170893</xdr:colOff>
      <xdr:row>10</xdr:row>
      <xdr:rowOff>163430</xdr:rowOff>
    </xdr:from>
    <xdr:to>
      <xdr:col>6</xdr:col>
      <xdr:colOff>3744</xdr:colOff>
      <xdr:row>10</xdr:row>
      <xdr:rowOff>163430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E9EC0C6-D3B6-935F-21DA-F54774F9D718}"/>
            </a:ext>
          </a:extLst>
        </xdr:cNvPr>
        <xdr:cNvCxnSpPr/>
      </xdr:nvCxnSpPr>
      <xdr:spPr>
        <a:xfrm>
          <a:off x="1390093" y="2068430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10293</xdr:colOff>
      <xdr:row>13</xdr:row>
      <xdr:rowOff>103205</xdr:rowOff>
    </xdr:from>
    <xdr:to>
      <xdr:col>6</xdr:col>
      <xdr:colOff>452744</xdr:colOff>
      <xdr:row>13</xdr:row>
      <xdr:rowOff>103205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EC6A323-C47C-4BE2-4C7D-6F0B7D559FE7}"/>
            </a:ext>
          </a:extLst>
        </xdr:cNvPr>
        <xdr:cNvCxnSpPr/>
      </xdr:nvCxnSpPr>
      <xdr:spPr>
        <a:xfrm>
          <a:off x="1839093" y="2579705"/>
          <a:ext cx="2271251" cy="0"/>
        </a:xfrm>
        <a:prstGeom prst="straightConnector1">
          <a:avLst/>
        </a:prstGeom>
        <a:ln w="38100">
          <a:solidFill>
            <a:srgbClr val="2B347E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530582</xdr:colOff>
      <xdr:row>17</xdr:row>
      <xdr:rowOff>24865</xdr:rowOff>
    </xdr:from>
    <xdr:to>
      <xdr:col>17</xdr:col>
      <xdr:colOff>110255</xdr:colOff>
      <xdr:row>28</xdr:row>
      <xdr:rowOff>82631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8ACADE1-459F-39B0-4FD4-244784C5DF2D}"/>
            </a:ext>
          </a:extLst>
        </xdr:cNvPr>
        <xdr:cNvGrpSpPr/>
      </xdr:nvGrpSpPr>
      <xdr:grpSpPr>
        <a:xfrm flipV="1">
          <a:off x="6644833" y="3127619"/>
          <a:ext cx="3859650" cy="2065431"/>
          <a:chOff x="5909189" y="1111044"/>
          <a:chExt cx="3846873" cy="215326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5E4D9CE-BE91-3B8F-B792-2D4A76695244}"/>
              </a:ext>
            </a:extLst>
          </xdr:cNvPr>
          <xdr:cNvCxnSpPr>
            <a:cxnSpLocks/>
          </xdr:cNvCxnSpPr>
        </xdr:nvCxnSpPr>
        <xdr:spPr>
          <a:xfrm flipH="1" flipV="1">
            <a:off x="7732414" y="1111044"/>
            <a:ext cx="2023648" cy="2153266"/>
          </a:xfrm>
          <a:prstGeom prst="line">
            <a:avLst/>
          </a:prstGeom>
          <a:ln w="38100">
            <a:solidFill>
              <a:srgbClr val="2B34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708FBEAF-7A6E-2E02-AB92-1751C1962C16}"/>
              </a:ext>
            </a:extLst>
          </xdr:cNvPr>
          <xdr:cNvCxnSpPr/>
        </xdr:nvCxnSpPr>
        <xdr:spPr>
          <a:xfrm flipV="1">
            <a:off x="5909189" y="160265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DB886E12-DBCC-E50C-3223-210DA030FF2B}"/>
              </a:ext>
            </a:extLst>
          </xdr:cNvPr>
          <xdr:cNvCxnSpPr/>
        </xdr:nvCxnSpPr>
        <xdr:spPr>
          <a:xfrm flipV="1">
            <a:off x="6358189" y="2113933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A1A293BA-7D0E-AFEA-528F-8365D0C80859}"/>
              </a:ext>
            </a:extLst>
          </xdr:cNvPr>
          <xdr:cNvCxnSpPr/>
        </xdr:nvCxnSpPr>
        <xdr:spPr>
          <a:xfrm flipV="1">
            <a:off x="6807189" y="262520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298865</xdr:colOff>
      <xdr:row>28</xdr:row>
      <xdr:rowOff>82631</xdr:rowOff>
    </xdr:from>
    <xdr:to>
      <xdr:col>15</xdr:col>
      <xdr:colOff>141549</xdr:colOff>
      <xdr:row>31</xdr:row>
      <xdr:rowOff>81372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1F55F91-CF3A-5C65-F52C-274046E8FFA9}"/>
            </a:ext>
          </a:extLst>
        </xdr:cNvPr>
        <xdr:cNvSpPr/>
      </xdr:nvSpPr>
      <xdr:spPr>
        <a:xfrm>
          <a:off x="7614065" y="5416631"/>
          <a:ext cx="1671484" cy="570241"/>
        </a:xfrm>
        <a:prstGeom prst="roundRect">
          <a:avLst/>
        </a:prstGeom>
        <a:solidFill>
          <a:schemeClr val="bg1"/>
        </a:solidFill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Environment</a:t>
          </a:r>
        </a:p>
      </xdr:txBody>
    </xdr:sp>
    <xdr:clientData/>
  </xdr:twoCellAnchor>
  <xdr:twoCellAnchor>
    <xdr:from>
      <xdr:col>5</xdr:col>
      <xdr:colOff>566795</xdr:colOff>
      <xdr:row>17</xdr:row>
      <xdr:rowOff>25141</xdr:rowOff>
    </xdr:from>
    <xdr:to>
      <xdr:col>12</xdr:col>
      <xdr:colOff>146468</xdr:colOff>
      <xdr:row>28</xdr:row>
      <xdr:rowOff>82907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1DCBA56-7D27-6605-A613-5F54FE9B40E5}"/>
            </a:ext>
          </a:extLst>
        </xdr:cNvPr>
        <xdr:cNvGrpSpPr/>
      </xdr:nvGrpSpPr>
      <xdr:grpSpPr>
        <a:xfrm flipV="1">
          <a:off x="3623921" y="3127895"/>
          <a:ext cx="3859649" cy="2065431"/>
          <a:chOff x="5909189" y="1111044"/>
          <a:chExt cx="3846873" cy="215326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A5591E1C-8DDE-5C22-9EAC-9210932D296B}"/>
              </a:ext>
            </a:extLst>
          </xdr:cNvPr>
          <xdr:cNvCxnSpPr>
            <a:cxnSpLocks/>
          </xdr:cNvCxnSpPr>
        </xdr:nvCxnSpPr>
        <xdr:spPr>
          <a:xfrm flipH="1" flipV="1">
            <a:off x="7732414" y="1111044"/>
            <a:ext cx="2023648" cy="2153266"/>
          </a:xfrm>
          <a:prstGeom prst="line">
            <a:avLst/>
          </a:prstGeom>
          <a:ln w="38100">
            <a:solidFill>
              <a:srgbClr val="2B34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97D68253-D2E5-FD43-C29F-A5F5FAD6F788}"/>
              </a:ext>
            </a:extLst>
          </xdr:cNvPr>
          <xdr:cNvCxnSpPr/>
        </xdr:nvCxnSpPr>
        <xdr:spPr>
          <a:xfrm flipV="1">
            <a:off x="5909189" y="160265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F27C709C-B13B-975C-6173-9FD877DBACB8}"/>
              </a:ext>
            </a:extLst>
          </xdr:cNvPr>
          <xdr:cNvCxnSpPr/>
        </xdr:nvCxnSpPr>
        <xdr:spPr>
          <a:xfrm flipV="1">
            <a:off x="6358189" y="2113933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EDA7981D-A58A-FA87-41D4-FD1857B6F88A}"/>
              </a:ext>
            </a:extLst>
          </xdr:cNvPr>
          <xdr:cNvCxnSpPr/>
        </xdr:nvCxnSpPr>
        <xdr:spPr>
          <a:xfrm flipV="1">
            <a:off x="6807189" y="262520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335078</xdr:colOff>
      <xdr:row>28</xdr:row>
      <xdr:rowOff>82907</xdr:rowOff>
    </xdr:from>
    <xdr:to>
      <xdr:col>10</xdr:col>
      <xdr:colOff>177762</xdr:colOff>
      <xdr:row>31</xdr:row>
      <xdr:rowOff>81648</xdr:rowOff>
    </xdr:to>
    <xdr:sp macro="" textlink="">
      <xdr:nvSpPr>
        <xdr:cNvPr id="117" name="Rectangle: Rounded Corners 17">
          <a:extLst>
            <a:ext uri="{FF2B5EF4-FFF2-40B4-BE49-F238E27FC236}">
              <a16:creationId xmlns:a16="http://schemas.microsoft.com/office/drawing/2014/main" id="{6265D1AA-617C-5A67-D100-C8285F0C5E1E}"/>
            </a:ext>
          </a:extLst>
        </xdr:cNvPr>
        <xdr:cNvSpPr/>
      </xdr:nvSpPr>
      <xdr:spPr>
        <a:xfrm>
          <a:off x="4602278" y="5416907"/>
          <a:ext cx="1671484" cy="570241"/>
        </a:xfrm>
        <a:prstGeom prst="roundRect">
          <a:avLst/>
        </a:prstGeom>
        <a:solidFill>
          <a:schemeClr val="bg1"/>
        </a:solidFill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Warehouse</a:t>
          </a:r>
        </a:p>
      </xdr:txBody>
    </xdr:sp>
    <xdr:clientData/>
  </xdr:twoCellAnchor>
  <xdr:twoCellAnchor>
    <xdr:from>
      <xdr:col>1</xdr:col>
      <xdr:colOff>266899</xdr:colOff>
      <xdr:row>17</xdr:row>
      <xdr:rowOff>24865</xdr:rowOff>
    </xdr:from>
    <xdr:to>
      <xdr:col>7</xdr:col>
      <xdr:colOff>456172</xdr:colOff>
      <xdr:row>28</xdr:row>
      <xdr:rowOff>82631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707D901-2756-475B-CCBA-8E9E349893F2}"/>
            </a:ext>
          </a:extLst>
        </xdr:cNvPr>
        <xdr:cNvGrpSpPr/>
      </xdr:nvGrpSpPr>
      <xdr:grpSpPr>
        <a:xfrm flipV="1">
          <a:off x="878324" y="3127619"/>
          <a:ext cx="3857824" cy="2065431"/>
          <a:chOff x="5909189" y="1111044"/>
          <a:chExt cx="3846873" cy="215326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FB7A59AA-76C3-A5A2-E59B-45A1650C1D43}"/>
              </a:ext>
            </a:extLst>
          </xdr:cNvPr>
          <xdr:cNvCxnSpPr>
            <a:cxnSpLocks/>
          </xdr:cNvCxnSpPr>
        </xdr:nvCxnSpPr>
        <xdr:spPr>
          <a:xfrm flipH="1" flipV="1">
            <a:off x="7732414" y="1111044"/>
            <a:ext cx="2023648" cy="2153266"/>
          </a:xfrm>
          <a:prstGeom prst="line">
            <a:avLst/>
          </a:prstGeom>
          <a:ln w="38100">
            <a:solidFill>
              <a:srgbClr val="2B34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54A4BBCA-CD53-EB7B-4059-23B17D2C4506}"/>
              </a:ext>
            </a:extLst>
          </xdr:cNvPr>
          <xdr:cNvCxnSpPr/>
        </xdr:nvCxnSpPr>
        <xdr:spPr>
          <a:xfrm flipV="1">
            <a:off x="5909189" y="160265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113A8719-5B34-40D1-55FD-97E06533BABA}"/>
              </a:ext>
            </a:extLst>
          </xdr:cNvPr>
          <xdr:cNvCxnSpPr/>
        </xdr:nvCxnSpPr>
        <xdr:spPr>
          <a:xfrm flipV="1">
            <a:off x="6358189" y="2113933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164E0E7D-18CC-6C7A-EB3B-C2009D624392}"/>
              </a:ext>
            </a:extLst>
          </xdr:cNvPr>
          <xdr:cNvCxnSpPr/>
        </xdr:nvCxnSpPr>
        <xdr:spPr>
          <a:xfrm flipV="1">
            <a:off x="6807189" y="2625208"/>
            <a:ext cx="2271251" cy="0"/>
          </a:xfrm>
          <a:prstGeom prst="straightConnector1">
            <a:avLst/>
          </a:prstGeom>
          <a:ln w="38100">
            <a:solidFill>
              <a:srgbClr val="2B347E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35182</xdr:colOff>
      <xdr:row>28</xdr:row>
      <xdr:rowOff>82631</xdr:rowOff>
    </xdr:from>
    <xdr:to>
      <xdr:col>5</xdr:col>
      <xdr:colOff>487466</xdr:colOff>
      <xdr:row>31</xdr:row>
      <xdr:rowOff>81372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961FBEF-BF96-0958-FB9E-9EFC1E6E65BD}"/>
            </a:ext>
          </a:extLst>
        </xdr:cNvPr>
        <xdr:cNvSpPr/>
      </xdr:nvSpPr>
      <xdr:spPr>
        <a:xfrm>
          <a:off x="1863982" y="5416631"/>
          <a:ext cx="1671484" cy="570241"/>
        </a:xfrm>
        <a:prstGeom prst="roundRect">
          <a:avLst/>
        </a:prstGeom>
        <a:solidFill>
          <a:schemeClr val="bg1"/>
        </a:solidFill>
        <a:ln w="38100">
          <a:solidFill>
            <a:srgbClr val="2B34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Supplier</a:t>
          </a:r>
        </a:p>
      </xdr:txBody>
    </xdr:sp>
    <xdr:clientData/>
  </xdr:twoCellAnchor>
  <xdr:twoCellAnchor>
    <xdr:from>
      <xdr:col>1</xdr:col>
      <xdr:colOff>57150</xdr:colOff>
      <xdr:row>5</xdr:row>
      <xdr:rowOff>176357</xdr:rowOff>
    </xdr:from>
    <xdr:to>
      <xdr:col>4</xdr:col>
      <xdr:colOff>293621</xdr:colOff>
      <xdr:row>7</xdr:row>
      <xdr:rowOff>164689</xdr:rowOff>
    </xdr:to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0F8030F4-8492-296E-13BF-53CED2264155}"/>
            </a:ext>
          </a:extLst>
        </xdr:cNvPr>
        <xdr:cNvSpPr txBox="1"/>
      </xdr:nvSpPr>
      <xdr:spPr>
        <a:xfrm>
          <a:off x="666750" y="1128857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2</xdr:col>
      <xdr:colOff>69518</xdr:colOff>
      <xdr:row>8</xdr:row>
      <xdr:rowOff>111782</xdr:rowOff>
    </xdr:from>
    <xdr:to>
      <xdr:col>5</xdr:col>
      <xdr:colOff>305989</xdr:colOff>
      <xdr:row>10</xdr:row>
      <xdr:rowOff>100114</xdr:rowOff>
    </xdr:to>
    <xdr:sp macro="" textlink="">
      <xdr:nvSpPr>
        <xdr:cNvPr id="22" name="TextBox 2">
          <a:extLst>
            <a:ext uri="{FF2B5EF4-FFF2-40B4-BE49-F238E27FC236}">
              <a16:creationId xmlns:a16="http://schemas.microsoft.com/office/drawing/2014/main" id="{DA6B084D-D5E4-D6FB-1688-6C54F4A77B00}"/>
            </a:ext>
          </a:extLst>
        </xdr:cNvPr>
        <xdr:cNvSpPr txBox="1"/>
      </xdr:nvSpPr>
      <xdr:spPr>
        <a:xfrm>
          <a:off x="1288718" y="1635782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3</xdr:col>
      <xdr:colOff>81886</xdr:colOff>
      <xdr:row>11</xdr:row>
      <xdr:rowOff>47207</xdr:rowOff>
    </xdr:from>
    <xdr:to>
      <xdr:col>6</xdr:col>
      <xdr:colOff>318357</xdr:colOff>
      <xdr:row>13</xdr:row>
      <xdr:rowOff>35539</xdr:rowOff>
    </xdr:to>
    <xdr:sp macro="" textlink="">
      <xdr:nvSpPr>
        <xdr:cNvPr id="23" name="TextBox 39">
          <a:extLst>
            <a:ext uri="{FF2B5EF4-FFF2-40B4-BE49-F238E27FC236}">
              <a16:creationId xmlns:a16="http://schemas.microsoft.com/office/drawing/2014/main" id="{14836B52-10BB-FEC7-6ED2-AAF1AC483193}"/>
            </a:ext>
          </a:extLst>
        </xdr:cNvPr>
        <xdr:cNvSpPr txBox="1"/>
      </xdr:nvSpPr>
      <xdr:spPr>
        <a:xfrm>
          <a:off x="1910686" y="2142707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5</xdr:col>
      <xdr:colOff>283431</xdr:colOff>
      <xdr:row>6</xdr:row>
      <xdr:rowOff>49172</xdr:rowOff>
    </xdr:from>
    <xdr:to>
      <xdr:col>8</xdr:col>
      <xdr:colOff>519902</xdr:colOff>
      <xdr:row>8</xdr:row>
      <xdr:rowOff>37504</xdr:rowOff>
    </xdr:to>
    <xdr:sp macro="" textlink="">
      <xdr:nvSpPr>
        <xdr:cNvPr id="24" name="TextBox 40">
          <a:extLst>
            <a:ext uri="{FF2B5EF4-FFF2-40B4-BE49-F238E27FC236}">
              <a16:creationId xmlns:a16="http://schemas.microsoft.com/office/drawing/2014/main" id="{B865E026-46BB-C218-C775-E81F1B7BE9C2}"/>
            </a:ext>
          </a:extLst>
        </xdr:cNvPr>
        <xdr:cNvSpPr txBox="1"/>
      </xdr:nvSpPr>
      <xdr:spPr>
        <a:xfrm>
          <a:off x="3331431" y="1192172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6</xdr:col>
      <xdr:colOff>295799</xdr:colOff>
      <xdr:row>8</xdr:row>
      <xdr:rowOff>175097</xdr:rowOff>
    </xdr:from>
    <xdr:to>
      <xdr:col>9</xdr:col>
      <xdr:colOff>532270</xdr:colOff>
      <xdr:row>10</xdr:row>
      <xdr:rowOff>163429</xdr:rowOff>
    </xdr:to>
    <xdr:sp macro="" textlink="">
      <xdr:nvSpPr>
        <xdr:cNvPr id="25" name="TextBox 41">
          <a:extLst>
            <a:ext uri="{FF2B5EF4-FFF2-40B4-BE49-F238E27FC236}">
              <a16:creationId xmlns:a16="http://schemas.microsoft.com/office/drawing/2014/main" id="{6AB60D04-ED38-31DC-79C0-EBABD7C9AA58}"/>
            </a:ext>
          </a:extLst>
        </xdr:cNvPr>
        <xdr:cNvSpPr txBox="1"/>
      </xdr:nvSpPr>
      <xdr:spPr>
        <a:xfrm>
          <a:off x="3953399" y="1699097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7</xdr:col>
      <xdr:colOff>308167</xdr:colOff>
      <xdr:row>11</xdr:row>
      <xdr:rowOff>110522</xdr:rowOff>
    </xdr:from>
    <xdr:to>
      <xdr:col>10</xdr:col>
      <xdr:colOff>544638</xdr:colOff>
      <xdr:row>13</xdr:row>
      <xdr:rowOff>103663</xdr:rowOff>
    </xdr:to>
    <xdr:sp macro="" textlink="">
      <xdr:nvSpPr>
        <xdr:cNvPr id="26" name="TextBox 42">
          <a:extLst>
            <a:ext uri="{FF2B5EF4-FFF2-40B4-BE49-F238E27FC236}">
              <a16:creationId xmlns:a16="http://schemas.microsoft.com/office/drawing/2014/main" id="{FC4FBA97-5060-9173-72E7-905B5861B206}"/>
            </a:ext>
          </a:extLst>
        </xdr:cNvPr>
        <xdr:cNvSpPr txBox="1"/>
      </xdr:nvSpPr>
      <xdr:spPr>
        <a:xfrm>
          <a:off x="4598558" y="2206022"/>
          <a:ext cx="2075210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B050"/>
              </a:solidFill>
            </a:rPr>
            <a:t>Cause</a:t>
          </a:r>
          <a:r>
            <a:rPr lang="en-US">
              <a:solidFill>
                <a:srgbClr val="0070C0"/>
              </a:solidFill>
            </a:rPr>
            <a:t> </a:t>
          </a:r>
        </a:p>
      </xdr:txBody>
    </xdr:sp>
    <xdr:clientData/>
  </xdr:twoCellAnchor>
  <xdr:twoCellAnchor>
    <xdr:from>
      <xdr:col>9</xdr:col>
      <xdr:colOff>509712</xdr:colOff>
      <xdr:row>6</xdr:row>
      <xdr:rowOff>112487</xdr:rowOff>
    </xdr:from>
    <xdr:to>
      <xdr:col>13</xdr:col>
      <xdr:colOff>136583</xdr:colOff>
      <xdr:row>8</xdr:row>
      <xdr:rowOff>105628</xdr:rowOff>
    </xdr:to>
    <xdr:sp macro="" textlink="">
      <xdr:nvSpPr>
        <xdr:cNvPr id="93" name="TextBox 43">
          <a:extLst>
            <a:ext uri="{FF2B5EF4-FFF2-40B4-BE49-F238E27FC236}">
              <a16:creationId xmlns:a16="http://schemas.microsoft.com/office/drawing/2014/main" id="{0A674ACB-C33D-987A-8B21-5F6C2CF80A2E}"/>
            </a:ext>
          </a:extLst>
        </xdr:cNvPr>
        <xdr:cNvSpPr txBox="1"/>
      </xdr:nvSpPr>
      <xdr:spPr>
        <a:xfrm>
          <a:off x="5996112" y="1255487"/>
          <a:ext cx="2065271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</a:t>
          </a:r>
        </a:p>
      </xdr:txBody>
    </xdr:sp>
    <xdr:clientData/>
  </xdr:twoCellAnchor>
  <xdr:twoCellAnchor>
    <xdr:from>
      <xdr:col>10</xdr:col>
      <xdr:colOff>522080</xdr:colOff>
      <xdr:row>9</xdr:row>
      <xdr:rowOff>47912</xdr:rowOff>
    </xdr:from>
    <xdr:to>
      <xdr:col>14</xdr:col>
      <xdr:colOff>148951</xdr:colOff>
      <xdr:row>11</xdr:row>
      <xdr:rowOff>41053</xdr:rowOff>
    </xdr:to>
    <xdr:sp macro="" textlink="">
      <xdr:nvSpPr>
        <xdr:cNvPr id="108" name="TextBox 44">
          <a:extLst>
            <a:ext uri="{FF2B5EF4-FFF2-40B4-BE49-F238E27FC236}">
              <a16:creationId xmlns:a16="http://schemas.microsoft.com/office/drawing/2014/main" id="{EF1C118A-B9B8-5B08-8D79-972FBC1503EA}"/>
            </a:ext>
          </a:extLst>
        </xdr:cNvPr>
        <xdr:cNvSpPr txBox="1"/>
      </xdr:nvSpPr>
      <xdr:spPr>
        <a:xfrm>
          <a:off x="6618080" y="1762412"/>
          <a:ext cx="2065271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</a:t>
          </a:r>
        </a:p>
      </xdr:txBody>
    </xdr:sp>
    <xdr:clientData/>
  </xdr:twoCellAnchor>
  <xdr:twoCellAnchor>
    <xdr:from>
      <xdr:col>11</xdr:col>
      <xdr:colOff>534448</xdr:colOff>
      <xdr:row>11</xdr:row>
      <xdr:rowOff>173837</xdr:rowOff>
    </xdr:from>
    <xdr:to>
      <xdr:col>15</xdr:col>
      <xdr:colOff>161319</xdr:colOff>
      <xdr:row>13</xdr:row>
      <xdr:rowOff>162169</xdr:rowOff>
    </xdr:to>
    <xdr:sp macro="" textlink="">
      <xdr:nvSpPr>
        <xdr:cNvPr id="29" name="TextBox 45">
          <a:extLst>
            <a:ext uri="{FF2B5EF4-FFF2-40B4-BE49-F238E27FC236}">
              <a16:creationId xmlns:a16="http://schemas.microsoft.com/office/drawing/2014/main" id="{843C33DF-077C-7618-C395-B3824FB2AB72}"/>
            </a:ext>
          </a:extLst>
        </xdr:cNvPr>
        <xdr:cNvSpPr txBox="1"/>
      </xdr:nvSpPr>
      <xdr:spPr>
        <a:xfrm>
          <a:off x="7240048" y="2269337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3</xdr:col>
      <xdr:colOff>376781</xdr:colOff>
      <xdr:row>17</xdr:row>
      <xdr:rowOff>158663</xdr:rowOff>
    </xdr:from>
    <xdr:to>
      <xdr:col>7</xdr:col>
      <xdr:colOff>3652</xdr:colOff>
      <xdr:row>19</xdr:row>
      <xdr:rowOff>151804</xdr:rowOff>
    </xdr:to>
    <xdr:sp macro="" textlink="">
      <xdr:nvSpPr>
        <xdr:cNvPr id="30" name="TextBox 46">
          <a:extLst>
            <a:ext uri="{FF2B5EF4-FFF2-40B4-BE49-F238E27FC236}">
              <a16:creationId xmlns:a16="http://schemas.microsoft.com/office/drawing/2014/main" id="{0EBEFA90-F291-1279-3D38-2C97347F72C8}"/>
            </a:ext>
          </a:extLst>
        </xdr:cNvPr>
        <xdr:cNvSpPr txBox="1"/>
      </xdr:nvSpPr>
      <xdr:spPr>
        <a:xfrm>
          <a:off x="2205581" y="3397163"/>
          <a:ext cx="2065271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FFC000"/>
              </a:solidFill>
            </a:rPr>
            <a:t>Delivery Time </a:t>
          </a:r>
        </a:p>
      </xdr:txBody>
    </xdr:sp>
    <xdr:clientData/>
  </xdr:twoCellAnchor>
  <xdr:twoCellAnchor>
    <xdr:from>
      <xdr:col>2</xdr:col>
      <xdr:colOff>427077</xdr:colOff>
      <xdr:row>20</xdr:row>
      <xdr:rowOff>137025</xdr:rowOff>
    </xdr:from>
    <xdr:to>
      <xdr:col>6</xdr:col>
      <xdr:colOff>53948</xdr:colOff>
      <xdr:row>22</xdr:row>
      <xdr:rowOff>125357</xdr:rowOff>
    </xdr:to>
    <xdr:sp macro="" textlink="">
      <xdr:nvSpPr>
        <xdr:cNvPr id="31" name="TextBox 47">
          <a:extLst>
            <a:ext uri="{FF2B5EF4-FFF2-40B4-BE49-F238E27FC236}">
              <a16:creationId xmlns:a16="http://schemas.microsoft.com/office/drawing/2014/main" id="{F9DF0CFC-75F1-19FE-5747-581F689C97A3}"/>
            </a:ext>
          </a:extLst>
        </xdr:cNvPr>
        <xdr:cNvSpPr txBox="1"/>
      </xdr:nvSpPr>
      <xdr:spPr>
        <a:xfrm>
          <a:off x="1646277" y="3947025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1</xdr:col>
      <xdr:colOff>450251</xdr:colOff>
      <xdr:row>23</xdr:row>
      <xdr:rowOff>47446</xdr:rowOff>
    </xdr:from>
    <xdr:to>
      <xdr:col>5</xdr:col>
      <xdr:colOff>77122</xdr:colOff>
      <xdr:row>25</xdr:row>
      <xdr:rowOff>35778</xdr:rowOff>
    </xdr:to>
    <xdr:sp macro="" textlink="">
      <xdr:nvSpPr>
        <xdr:cNvPr id="32" name="TextBox 48">
          <a:extLst>
            <a:ext uri="{FF2B5EF4-FFF2-40B4-BE49-F238E27FC236}">
              <a16:creationId xmlns:a16="http://schemas.microsoft.com/office/drawing/2014/main" id="{68608D96-F7D1-0099-EA64-271617756D36}"/>
            </a:ext>
          </a:extLst>
        </xdr:cNvPr>
        <xdr:cNvSpPr txBox="1"/>
      </xdr:nvSpPr>
      <xdr:spPr>
        <a:xfrm>
          <a:off x="1059851" y="4428946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7</xdr:col>
      <xdr:colOff>535352</xdr:colOff>
      <xdr:row>18</xdr:row>
      <xdr:rowOff>57171</xdr:rowOff>
    </xdr:from>
    <xdr:to>
      <xdr:col>11</xdr:col>
      <xdr:colOff>162223</xdr:colOff>
      <xdr:row>20</xdr:row>
      <xdr:rowOff>45503</xdr:rowOff>
    </xdr:to>
    <xdr:sp macro="" textlink="">
      <xdr:nvSpPr>
        <xdr:cNvPr id="33" name="TextBox 49">
          <a:extLst>
            <a:ext uri="{FF2B5EF4-FFF2-40B4-BE49-F238E27FC236}">
              <a16:creationId xmlns:a16="http://schemas.microsoft.com/office/drawing/2014/main" id="{3050810C-994E-3DE8-3952-C0DC4FF96509}"/>
            </a:ext>
          </a:extLst>
        </xdr:cNvPr>
        <xdr:cNvSpPr txBox="1"/>
      </xdr:nvSpPr>
      <xdr:spPr>
        <a:xfrm>
          <a:off x="4802552" y="3486171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6</xdr:col>
      <xdr:colOff>585648</xdr:colOff>
      <xdr:row>21</xdr:row>
      <xdr:rowOff>35533</xdr:rowOff>
    </xdr:from>
    <xdr:to>
      <xdr:col>10</xdr:col>
      <xdr:colOff>212519</xdr:colOff>
      <xdr:row>23</xdr:row>
      <xdr:rowOff>23865</xdr:rowOff>
    </xdr:to>
    <xdr:sp macro="" textlink="">
      <xdr:nvSpPr>
        <xdr:cNvPr id="34" name="TextBox 50">
          <a:extLst>
            <a:ext uri="{FF2B5EF4-FFF2-40B4-BE49-F238E27FC236}">
              <a16:creationId xmlns:a16="http://schemas.microsoft.com/office/drawing/2014/main" id="{6DDC4468-E200-4D5D-44C6-6A43AEB64CD3}"/>
            </a:ext>
          </a:extLst>
        </xdr:cNvPr>
        <xdr:cNvSpPr txBox="1"/>
      </xdr:nvSpPr>
      <xdr:spPr>
        <a:xfrm>
          <a:off x="4243248" y="4036033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5</xdr:col>
      <xdr:colOff>608822</xdr:colOff>
      <xdr:row>23</xdr:row>
      <xdr:rowOff>136454</xdr:rowOff>
    </xdr:from>
    <xdr:to>
      <xdr:col>9</xdr:col>
      <xdr:colOff>235693</xdr:colOff>
      <xdr:row>25</xdr:row>
      <xdr:rowOff>124786</xdr:rowOff>
    </xdr:to>
    <xdr:sp macro="" textlink="">
      <xdr:nvSpPr>
        <xdr:cNvPr id="35" name="TextBox 51">
          <a:extLst>
            <a:ext uri="{FF2B5EF4-FFF2-40B4-BE49-F238E27FC236}">
              <a16:creationId xmlns:a16="http://schemas.microsoft.com/office/drawing/2014/main" id="{24B52405-102A-F452-F030-525797A3DDB9}"/>
            </a:ext>
          </a:extLst>
        </xdr:cNvPr>
        <xdr:cNvSpPr txBox="1"/>
      </xdr:nvSpPr>
      <xdr:spPr>
        <a:xfrm>
          <a:off x="3656822" y="4517954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12</xdr:col>
      <xdr:colOff>198382</xdr:colOff>
      <xdr:row>18</xdr:row>
      <xdr:rowOff>57171</xdr:rowOff>
    </xdr:from>
    <xdr:to>
      <xdr:col>15</xdr:col>
      <xdr:colOff>434853</xdr:colOff>
      <xdr:row>20</xdr:row>
      <xdr:rowOff>45503</xdr:rowOff>
    </xdr:to>
    <xdr:sp macro="" textlink="">
      <xdr:nvSpPr>
        <xdr:cNvPr id="36" name="TextBox 52">
          <a:extLst>
            <a:ext uri="{FF2B5EF4-FFF2-40B4-BE49-F238E27FC236}">
              <a16:creationId xmlns:a16="http://schemas.microsoft.com/office/drawing/2014/main" id="{3EF1EC90-FD8B-B5F3-501C-B8774FD7E719}"/>
            </a:ext>
          </a:extLst>
        </xdr:cNvPr>
        <xdr:cNvSpPr txBox="1"/>
      </xdr:nvSpPr>
      <xdr:spPr>
        <a:xfrm>
          <a:off x="7513582" y="3486171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11</xdr:col>
      <xdr:colOff>248678</xdr:colOff>
      <xdr:row>21</xdr:row>
      <xdr:rowOff>35533</xdr:rowOff>
    </xdr:from>
    <xdr:to>
      <xdr:col>14</xdr:col>
      <xdr:colOff>485149</xdr:colOff>
      <xdr:row>23</xdr:row>
      <xdr:rowOff>28674</xdr:rowOff>
    </xdr:to>
    <xdr:sp macro="" textlink="">
      <xdr:nvSpPr>
        <xdr:cNvPr id="37" name="TextBox 53">
          <a:extLst>
            <a:ext uri="{FF2B5EF4-FFF2-40B4-BE49-F238E27FC236}">
              <a16:creationId xmlns:a16="http://schemas.microsoft.com/office/drawing/2014/main" id="{EFCC4C99-BFBA-33E5-52D4-FA378F163FEC}"/>
            </a:ext>
          </a:extLst>
        </xdr:cNvPr>
        <xdr:cNvSpPr txBox="1"/>
      </xdr:nvSpPr>
      <xdr:spPr>
        <a:xfrm>
          <a:off x="6990721" y="4036033"/>
          <a:ext cx="2075211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FF0000"/>
              </a:solidFill>
            </a:rPr>
            <a:t>Cause</a:t>
          </a:r>
          <a:r>
            <a:rPr lang="en-US">
              <a:solidFill>
                <a:srgbClr val="0070C0"/>
              </a:solidFill>
            </a:rPr>
            <a:t> </a:t>
          </a:r>
        </a:p>
      </xdr:txBody>
    </xdr:sp>
    <xdr:clientData/>
  </xdr:twoCellAnchor>
  <xdr:twoCellAnchor>
    <xdr:from>
      <xdr:col>10</xdr:col>
      <xdr:colOff>271852</xdr:colOff>
      <xdr:row>23</xdr:row>
      <xdr:rowOff>136454</xdr:rowOff>
    </xdr:from>
    <xdr:to>
      <xdr:col>13</xdr:col>
      <xdr:colOff>508323</xdr:colOff>
      <xdr:row>25</xdr:row>
      <xdr:rowOff>124786</xdr:rowOff>
    </xdr:to>
    <xdr:sp macro="" textlink="">
      <xdr:nvSpPr>
        <xdr:cNvPr id="38" name="TextBox 54">
          <a:extLst>
            <a:ext uri="{FF2B5EF4-FFF2-40B4-BE49-F238E27FC236}">
              <a16:creationId xmlns:a16="http://schemas.microsoft.com/office/drawing/2014/main" id="{0DD7E0B6-8187-D9EB-B3E1-D9564D3237B3}"/>
            </a:ext>
          </a:extLst>
        </xdr:cNvPr>
        <xdr:cNvSpPr txBox="1"/>
      </xdr:nvSpPr>
      <xdr:spPr>
        <a:xfrm>
          <a:off x="6367852" y="4517954"/>
          <a:ext cx="206527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  <xdr:twoCellAnchor>
    <xdr:from>
      <xdr:col>12</xdr:col>
      <xdr:colOff>355543</xdr:colOff>
      <xdr:row>14</xdr:row>
      <xdr:rowOff>11498</xdr:rowOff>
    </xdr:from>
    <xdr:to>
      <xdr:col>15</xdr:col>
      <xdr:colOff>595328</xdr:colOff>
      <xdr:row>15</xdr:row>
      <xdr:rowOff>190330</xdr:rowOff>
    </xdr:to>
    <xdr:sp macro="" textlink="">
      <xdr:nvSpPr>
        <xdr:cNvPr id="18" name="TextBox 45">
          <a:extLst>
            <a:ext uri="{FF2B5EF4-FFF2-40B4-BE49-F238E27FC236}">
              <a16:creationId xmlns:a16="http://schemas.microsoft.com/office/drawing/2014/main" id="{2C076FA3-F0C1-F319-F91D-D411AA79AB9F}"/>
            </a:ext>
          </a:extLst>
        </xdr:cNvPr>
        <xdr:cNvSpPr txBox="1"/>
      </xdr:nvSpPr>
      <xdr:spPr>
        <a:xfrm>
          <a:off x="7710500" y="2678498"/>
          <a:ext cx="2078524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solidFill>
                <a:srgbClr val="0070C0"/>
              </a:solidFill>
            </a:rPr>
            <a:t>Cause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65942</xdr:colOff>
      <xdr:row>2</xdr:row>
      <xdr:rowOff>163023</xdr:rowOff>
    </xdr:from>
    <xdr:to>
      <xdr:col>16</xdr:col>
      <xdr:colOff>345830</xdr:colOff>
      <xdr:row>33</xdr:row>
      <xdr:rowOff>87923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C91288-0325-86E1-F3CF-4A0E49D85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8342" y="528783"/>
              <a:ext cx="7595088" cy="5594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234220</xdr:colOff>
      <xdr:row>2</xdr:row>
      <xdr:rowOff>16297</xdr:rowOff>
    </xdr:from>
    <xdr:to>
      <xdr:col>17</xdr:col>
      <xdr:colOff>249834</xdr:colOff>
      <xdr:row>24</xdr:row>
      <xdr:rowOff>153551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E786C-1041-31E9-AC16-43C75ACC3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54667</xdr:colOff>
      <xdr:row>2</xdr:row>
      <xdr:rowOff>41137</xdr:rowOff>
    </xdr:from>
    <xdr:to>
      <xdr:col>17</xdr:col>
      <xdr:colOff>70281</xdr:colOff>
      <xdr:row>24</xdr:row>
      <xdr:rowOff>171822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45EFB-135B-4284-B740-C96C35976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587631</xdr:colOff>
      <xdr:row>1</xdr:row>
      <xdr:rowOff>174381</xdr:rowOff>
    </xdr:from>
    <xdr:to>
      <xdr:col>11</xdr:col>
      <xdr:colOff>374316</xdr:colOff>
      <xdr:row>18</xdr:row>
      <xdr:rowOff>116974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345E15-8D63-5863-B1C0-687B3CE9E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0.44471</cdr:x>
      <cdr:y>0.45726</cdr:y>
    </cdr:from>
    <cdr:to>
      <cdr:x>0.55849</cdr:x>
      <cdr:y>0.5641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D20F9C-A18D-CD54-8976-372922C8261F}"/>
            </a:ext>
          </a:extLst>
        </cdr:cNvPr>
        <cdr:cNvSpPr txBox="1"/>
      </cdr:nvSpPr>
      <cdr:spPr>
        <a:xfrm xmlns:a="http://schemas.openxmlformats.org/drawingml/2006/main">
          <a:off x="2033222" y="1254369"/>
          <a:ext cx="520212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0.42228</cdr:x>
      <cdr:y>0.41186</cdr:y>
    </cdr:from>
    <cdr:to>
      <cdr:x>0.57772</cdr:x>
      <cdr:y>0.59081</cdr:y>
    </cdr:to>
    <cdr:sp macro="" textlink="'5-Graphs - C) Pie Graphs '!$D$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EE35F64-A87D-23F0-EF74-87F7FDE932A9}"/>
            </a:ext>
          </a:extLst>
        </cdr:cNvPr>
        <cdr:cNvSpPr txBox="1"/>
      </cdr:nvSpPr>
      <cdr:spPr>
        <a:xfrm xmlns:a="http://schemas.openxmlformats.org/drawingml/2006/main">
          <a:off x="1930645" y="1129812"/>
          <a:ext cx="710711" cy="4909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ctr"/>
        <a:lstStyle xmlns:a="http://schemas.openxmlformats.org/drawingml/2006/main"/>
        <a:p xmlns:a="http://schemas.openxmlformats.org/drawingml/2006/main">
          <a:pPr algn="ctr"/>
          <a:fld id="{4F0E8CF7-2147-485A-BF08-09E3F4A1417A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78 Participants</a:t>
          </a:fld>
          <a:endParaRPr lang="en-US" sz="1100" b="1">
            <a:solidFill>
              <a:schemeClr val="bg1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253138</xdr:colOff>
      <xdr:row>27</xdr:row>
      <xdr:rowOff>88859</xdr:rowOff>
    </xdr:from>
    <xdr:to>
      <xdr:col>13</xdr:col>
      <xdr:colOff>810638</xdr:colOff>
      <xdr:row>42</xdr:row>
      <xdr:rowOff>73692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E1F76D5A-F8F0-4235-829B-6E4CF9C2C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253138</xdr:colOff>
      <xdr:row>43</xdr:row>
      <xdr:rowOff>25599</xdr:rowOff>
    </xdr:from>
    <xdr:to>
      <xdr:col>13</xdr:col>
      <xdr:colOff>810638</xdr:colOff>
      <xdr:row>58</xdr:row>
      <xdr:rowOff>10431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B9376-8731-4E13-838F-183BBEAF0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253139</xdr:colOff>
      <xdr:row>27</xdr:row>
      <xdr:rowOff>88859</xdr:rowOff>
    </xdr:from>
    <xdr:to>
      <xdr:col>17</xdr:col>
      <xdr:colOff>371930</xdr:colOff>
      <xdr:row>42</xdr:row>
      <xdr:rowOff>73692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C98C3-EE13-44EA-9C77-47EF70E07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253139</xdr:colOff>
      <xdr:row>43</xdr:row>
      <xdr:rowOff>25599</xdr:rowOff>
    </xdr:from>
    <xdr:to>
      <xdr:col>17</xdr:col>
      <xdr:colOff>371930</xdr:colOff>
      <xdr:row>58</xdr:row>
      <xdr:rowOff>10431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E00FD-83AA-400B-BAFA-C4D6F69C0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253138</xdr:colOff>
      <xdr:row>27</xdr:row>
      <xdr:rowOff>88859</xdr:rowOff>
    </xdr:from>
    <xdr:to>
      <xdr:col>7</xdr:col>
      <xdr:colOff>25514</xdr:colOff>
      <xdr:row>42</xdr:row>
      <xdr:rowOff>73692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E6A0B69-5D70-4EA1-BAC6-A72D93DEB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253138</xdr:colOff>
      <xdr:row>32</xdr:row>
      <xdr:rowOff>88859</xdr:rowOff>
    </xdr:from>
    <xdr:to>
      <xdr:col>7</xdr:col>
      <xdr:colOff>25514</xdr:colOff>
      <xdr:row>51</xdr:row>
      <xdr:rowOff>170089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201C2CFA-1A22-42B8-AD1A-2691E2822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253138</xdr:colOff>
      <xdr:row>23</xdr:row>
      <xdr:rowOff>88859</xdr:rowOff>
    </xdr:from>
    <xdr:to>
      <xdr:col>7</xdr:col>
      <xdr:colOff>25514</xdr:colOff>
      <xdr:row>44</xdr:row>
      <xdr:rowOff>178594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601176D5-FE81-4205-8D3B-A69ED96F6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186463</xdr:colOff>
      <xdr:row>22</xdr:row>
      <xdr:rowOff>126959</xdr:rowOff>
    </xdr:from>
    <xdr:to>
      <xdr:col>5</xdr:col>
      <xdr:colOff>1457325</xdr:colOff>
      <xdr:row>44</xdr:row>
      <xdr:rowOff>16669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964894BA-3E2B-4540-9A9B-90591A21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266699</xdr:colOff>
      <xdr:row>1</xdr:row>
      <xdr:rowOff>133356</xdr:rowOff>
    </xdr:from>
    <xdr:to>
      <xdr:col>17</xdr:col>
      <xdr:colOff>133349</xdr:colOff>
      <xdr:row>25</xdr:row>
      <xdr:rowOff>171450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8ADECB6-9CC0-0554-0532-D1941DD9B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257174</xdr:colOff>
      <xdr:row>24</xdr:row>
      <xdr:rowOff>9530</xdr:rowOff>
    </xdr:from>
    <xdr:to>
      <xdr:col>20</xdr:col>
      <xdr:colOff>190499</xdr:colOff>
      <xdr:row>46</xdr:row>
      <xdr:rowOff>114299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E83DFEE-F3BD-30CD-762B-50957F4A3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FE2C3-691D-4499-982B-090C04A3A31A}" name="Table1_2" displayName="Table1_2" ref="B1:B101" totalsRowShown="0" headerRowDxfId="166" dataDxfId="165">
  <autoFilter ref="B1:B101" xr:uid="{C08FE2C3-691D-4499-982B-090C04A3A31A}"/>
  <tableColumns count="1">
    <tableColumn id="3" xr3:uid="{C3B5AF6A-6997-43D7-AFFD-1859C7C16D82}" name="Thickness (Data)" dataDxfId="16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C4DD4-558C-482C-96DC-E6B11EC0A430}" name="Table2" displayName="Table2" ref="B4:C19" totalsRowShown="0">
  <autoFilter ref="B4:C19" xr:uid="{A6BC4DD4-558C-482C-96DC-E6B11EC0A430}"/>
  <tableColumns count="2">
    <tableColumn id="1" xr3:uid="{77D2D097-9115-405C-8B3A-DB336F418EA8}" name="Defect"/>
    <tableColumn id="2" xr3:uid="{8BF4A2C5-F8E2-4BFA-8CD1-17DB73D44D8A}" name="Coun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75D51-2215-41DF-A61B-ADEDA605A074}" name="Table3" displayName="Table3" ref="B3:E15" totalsRowShown="0">
  <autoFilter ref="B3:E15" xr:uid="{2FA75D51-2215-41DF-A61B-ADEDA605A074}"/>
  <tableColumns count="4">
    <tableColumn id="1" xr3:uid="{D8D389B9-FA37-44AF-9DD1-4E8F7DAEBBDD}" name="Day"/>
    <tableColumn id="2" xr3:uid="{CA54EAF0-00B8-4C2C-9189-A1D76B4824F3}" name="Group (A)"/>
    <tableColumn id="3" xr3:uid="{B3EEC949-DA79-41D1-8C80-2289ED13F6A4}" name="Group (B)"/>
    <tableColumn id="4" xr3:uid="{3E452BEF-A064-4DE3-941A-054C74AB05BF}" name="Group (c)" dataDxfId="16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630B44-9D4B-4027-B8BF-C8AED801665D}" name="Table35" displayName="Table35" ref="B3:D25" totalsRowShown="0">
  <autoFilter ref="B3:D25" xr:uid="{2FA75D51-2215-41DF-A61B-ADEDA605A074}"/>
  <tableColumns count="3">
    <tableColumn id="1" xr3:uid="{20974566-C192-4A7D-9D53-CCD455033E17}" name="Day"/>
    <tableColumn id="2" xr3:uid="{C7069505-F731-42C0-8837-85688B2FEE59}" name="Group (A)"/>
    <tableColumn id="3" xr3:uid="{35143EAC-A490-41B6-A4BB-32636D942C37}" name="Group (B)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D877DE-7D32-4237-97B5-177423015288}" name="Table356" displayName="Table356" ref="B3:C9" totalsRowCount="1">
  <autoFilter ref="B3:C8" xr:uid="{2FA75D51-2215-41DF-A61B-ADEDA605A074}"/>
  <tableColumns count="2">
    <tableColumn id="1" xr3:uid="{6175421E-3867-422F-8F9F-D6F354B3947A}" name="Category" totalsRowLabel="Total"/>
    <tableColumn id="2" xr3:uid="{EF9620A5-290B-4AA8-AB48-0483A5D889CF}" name="Participants" totalsRowFunction="sum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336975-E128-4BA6-AB97-BD54DCC0A154}" name="Table1" displayName="Table1" ref="A1:N27" totalsRowCount="1" headerRowDxfId="162" dataDxfId="160" totalsRowDxfId="158" headerRowBorderDxfId="161" tableBorderDxfId="159">
  <autoFilter ref="A1:N26" xr:uid="{9DCC713D-3803-48C8-80BF-CAFBEAFD6F43}"/>
  <tableColumns count="14">
    <tableColumn id="1" xr3:uid="{84835C8A-614F-471B-ABF8-447FC1C8A75F}" name="No." totalsRowLabel="Total" dataDxfId="157" totalsRowDxfId="156" totalsRowCellStyle="Normal 2"/>
    <tableColumn id="2" xr3:uid="{1B305CBC-0ACA-46FA-855D-842E8F010A62}" name="6:00" dataDxfId="155" totalsRowDxfId="154" totalsRowCellStyle="Normal 2"/>
    <tableColumn id="3" xr3:uid="{A920D4A9-0B91-42B2-B501-D3272215EEF4}" name="10:00" dataDxfId="153" totalsRowDxfId="152" totalsRowCellStyle="Normal 2"/>
    <tableColumn id="4" xr3:uid="{2847767D-ED89-437C-BD55-7EF956CF5FC9}" name="14:00" dataDxfId="151" totalsRowDxfId="150" totalsRowCellStyle="Normal 2"/>
    <tableColumn id="5" xr3:uid="{45172AAE-D87D-49B6-B688-3E6AA80AC744}" name="18:00" dataDxfId="149" totalsRowDxfId="148" totalsRowCellStyle="Normal 2"/>
    <tableColumn id="6" xr3:uid="{8451C7DC-16E1-40FC-9BD9-ECCE97D16441}" name="22:00" dataDxfId="147" totalsRowDxfId="146" totalsRowCellStyle="Normal 2"/>
    <tableColumn id="7" xr3:uid="{AB571AD8-F89F-4EBC-8CDE-975B051532F4}" name="x ̅" totalsRowFunction="average" dataDxfId="145" totalsRowDxfId="144" totalsRowCellStyle="Normal 2">
      <calculatedColumnFormula>AVERAGE(B2:F2)</calculatedColumnFormula>
    </tableColumn>
    <tableColumn id="8" xr3:uid="{48AA26FA-7F12-4763-A2B4-9F90DFDDD181}" name="R" totalsRowFunction="average" dataDxfId="143" totalsRowDxfId="142" totalsRowCellStyle="Normal 2">
      <calculatedColumnFormula>MAX(B2:F2)-MIN(B2:F2)</calculatedColumnFormula>
    </tableColumn>
    <tableColumn id="10" xr3:uid="{6FBA81CB-6456-4E8F-B6A4-2407039ACF33}" name="x ̿ " dataDxfId="141" totalsRowDxfId="140" totalsRowCellStyle="Normal 2">
      <calculatedColumnFormula>AVERAGE(Table1[x ̅])</calculatedColumnFormula>
    </tableColumn>
    <tableColumn id="11" xr3:uid="{EEB0FA08-2728-4927-96A2-A98C02AF3C41}" name="R ̅" dataDxfId="139" totalsRowDxfId="138" totalsRowCellStyle="Normal 2">
      <calculatedColumnFormula>Table1[[#Totals],[R]]</calculatedColumnFormula>
    </tableColumn>
    <tableColumn id="9" xr3:uid="{A83B46DB-C24E-42D5-BE0D-5EE47920278F}" name="UCL (X-bar)" dataDxfId="137" totalsRowDxfId="136" totalsRowCellStyle="Normal 2">
      <calculatedColumnFormula>Table1[[#This Row],[x ̿ ]]+VLOOKUP($P$1,$AB$3:$AH$26,2)*Table1[[#This Row],[R ̅]]</calculatedColumnFormula>
    </tableColumn>
    <tableColumn id="12" xr3:uid="{BB7A8C51-111A-4B54-86A9-693E4246B437}" name="LCL (X-bar)" dataDxfId="135" totalsRowDxfId="134" totalsRowCellStyle="Normal 2">
      <calculatedColumnFormula>Table1[[#This Row],[x ̿ ]]-VLOOKUP($P$1,$AB$3:$AH$26,2)*Table1[[#This Row],[R ̅]]</calculatedColumnFormula>
    </tableColumn>
    <tableColumn id="13" xr3:uid="{EFE98BD2-E98E-4D22-9B81-4841D10ACCD6}" name="UCL (R)" dataDxfId="133" totalsRowDxfId="132" totalsRowCellStyle="Normal 2">
      <calculatedColumnFormula>VLOOKUP($P$1,$AB$3:$AH$26,7)*Table1[[#This Row],[R ̅]]</calculatedColumnFormula>
    </tableColumn>
    <tableColumn id="14" xr3:uid="{405656EE-26AA-4ED9-8748-47ED70E64899}" name="LCL (R)" dataDxfId="131" totalsRowDxfId="130" totalsRowCellStyle="Normal 2">
      <calculatedColumnFormula>VLOOKUP($P$1,$AB$3:$AH$26,6)*Table1[[#This Row],[R ̅]]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E3035E-582C-473E-BF6B-B322791E23AE}" name="Table13" displayName="Table13" ref="A1:U27" totalsRowCount="1" headerRowDxfId="129" dataDxfId="127" totalsRowDxfId="125" headerRowBorderDxfId="128" tableBorderDxfId="126">
  <autoFilter ref="A1:U26" xr:uid="{9DCC713D-3803-48C8-80BF-CAFBEAFD6F43}"/>
  <tableColumns count="21">
    <tableColumn id="1" xr3:uid="{227C73F5-84ED-4F28-80C5-8D5761731DE7}" name="No." totalsRowLabel="Total" dataDxfId="124" totalsRowDxfId="123" totalsRowCellStyle="Normal 2"/>
    <tableColumn id="2" xr3:uid="{3F1CBC03-DA50-40F2-BA01-FC04EAE88760}" name="6" dataDxfId="122" totalsRowDxfId="121" totalsRowCellStyle="Normal 2"/>
    <tableColumn id="22" xr3:uid="{E2688B86-36F0-4FFC-9B8C-53B2264FB138}" name="7" dataDxfId="120" totalsRowDxfId="119" totalsRowCellStyle="Normal 2"/>
    <tableColumn id="23" xr3:uid="{3921B8E8-22E3-4052-9F36-C538E9F19E67}" name="8" dataDxfId="118" totalsRowDxfId="117" totalsRowCellStyle="Normal 2"/>
    <tableColumn id="25" xr3:uid="{654AB892-7DB1-43D8-BA6E-A604FDB43502}" name="9" dataDxfId="116" totalsRowDxfId="115" totalsRowCellStyle="Normal 2"/>
    <tableColumn id="26" xr3:uid="{439B480E-ED9E-4C55-9FDA-1BA2B4BD10D7}" name="10" dataDxfId="114" totalsRowDxfId="113" totalsRowCellStyle="Normal 2"/>
    <tableColumn id="24" xr3:uid="{572D47D0-637B-48EC-B09B-86C4F2141D8A}" name="11" dataDxfId="112" totalsRowDxfId="111" totalsRowCellStyle="Normal 2"/>
    <tableColumn id="20" xr3:uid="{F0FBB9EF-3BB2-45EA-9A54-6EA97AB95F4D}" name="12" dataDxfId="110" totalsRowDxfId="109" totalsRowCellStyle="Normal 2"/>
    <tableColumn id="21" xr3:uid="{B1C70628-F816-45FB-A95E-0F4C62415CA3}" name="13" dataDxfId="108" totalsRowDxfId="107" totalsRowCellStyle="Normal 2"/>
    <tableColumn id="3" xr3:uid="{81B56BB0-AC1B-46FF-984D-66BBFE3A0F93}" name="14" dataDxfId="106" totalsRowDxfId="105" totalsRowCellStyle="Normal 2"/>
    <tableColumn id="4" xr3:uid="{81DF8828-4212-4862-A5FE-0515273FB38A}" name="15" dataDxfId="104" totalsRowDxfId="103" totalsRowCellStyle="Normal 2"/>
    <tableColumn id="5" xr3:uid="{40F82E89-832F-4C2A-BF85-CF2349A950AC}" name="16" dataDxfId="102" totalsRowDxfId="101" totalsRowCellStyle="Normal 2"/>
    <tableColumn id="6" xr3:uid="{1693BC75-9AE4-4CA4-B779-14BF509AEB52}" name="17" dataDxfId="100" totalsRowDxfId="99" totalsRowCellStyle="Normal 2"/>
    <tableColumn id="7" xr3:uid="{7A4AE66D-99CD-4430-B90E-DEF93378FDB9}" name="x ̅" totalsRowFunction="average" dataDxfId="98" totalsRowDxfId="97" totalsRowCellStyle="Normal 2">
      <calculatedColumnFormula>AVERAGE(B2:M2)</calculatedColumnFormula>
    </tableColumn>
    <tableColumn id="8" xr3:uid="{EA685344-7AD5-47D8-BB17-902440236EAA}" name="S" totalsRowFunction="average" dataDxfId="96" totalsRowDxfId="95" totalsRowCellStyle="Normal 2">
      <calculatedColumnFormula>_xlfn.STDEV.S(Table13[[#This Row],[6]:[17]])</calculatedColumnFormula>
    </tableColumn>
    <tableColumn id="10" xr3:uid="{FBA61F69-6BBC-468B-9A65-A6303E3910ED}" name="x ̿ " dataDxfId="94" totalsRowDxfId="93" totalsRowCellStyle="Normal 2">
      <calculatedColumnFormula>AVERAGE(Table13[x ̅])</calculatedColumnFormula>
    </tableColumn>
    <tableColumn id="11" xr3:uid="{711A3D86-6AC3-466C-B508-8E9DF9AB4CCF}" name="S ̅" dataDxfId="92" totalsRowDxfId="91" totalsRowCellStyle="Normal 2">
      <calculatedColumnFormula>Table13[[#Totals],[S]]</calculatedColumnFormula>
    </tableColumn>
    <tableColumn id="9" xr3:uid="{12B0ABA3-C2BD-42AA-9446-B3A195A61907}" name="UCL (X-bar)" dataDxfId="90" totalsRowDxfId="89" totalsRowCellStyle="Normal 2">
      <calculatedColumnFormula>Table13[[#This Row],[x ̿ ]]+VLOOKUP($W$1,$AI$3:$AO$26,3)*Table13[[#This Row],[S ̅]]</calculatedColumnFormula>
    </tableColumn>
    <tableColumn id="12" xr3:uid="{B858B084-9349-4BD0-9489-E4AC817118AF}" name="LCL (X-bar)" dataDxfId="88" totalsRowDxfId="87" totalsRowCellStyle="Normal 2">
      <calculatedColumnFormula>Table13[[#This Row],[x ̿ ]]-VLOOKUP($W$1,$AI$3:$AO$26,3)*Table13[[#This Row],[S ̅]]</calculatedColumnFormula>
    </tableColumn>
    <tableColumn id="13" xr3:uid="{D2F5BD81-0F00-4C8A-BE19-8EB75B0C6C6A}" name="UCL (S)" dataDxfId="86" totalsRowDxfId="85" totalsRowCellStyle="Normal 2">
      <calculatedColumnFormula>VLOOKUP($W$1,$AI$3:$AO$26,5)*Table13[[#This Row],[S ̅]]</calculatedColumnFormula>
    </tableColumn>
    <tableColumn id="14" xr3:uid="{FCD72814-80C3-4EE6-8E34-0E8413E93877}" name="LCL (S)" dataDxfId="84" totalsRowDxfId="83" totalsRowCellStyle="Normal 2">
      <calculatedColumnFormula>VLOOKUP($W$1,$AI$3:$AO$26,4)*Table13[[#This Row],[S ̅]]</calculatedColumnFormula>
    </tableColumn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61A80D-20DC-4811-9AEF-81C045CCBBC6}" name="Table110" displayName="Table110" ref="A1:G27" totalsRowCount="1" headerRowDxfId="82" dataDxfId="80" totalsRowDxfId="78" headerRowBorderDxfId="81" tableBorderDxfId="79">
  <autoFilter ref="A1:G26" xr:uid="{9DCC713D-3803-48C8-80BF-CAFBEAFD6F43}"/>
  <tableColumns count="7">
    <tableColumn id="1" xr3:uid="{6C3C8413-D07A-4632-804F-10CB7AF218EC}" name="No." totalsRowLabel="Total" dataDxfId="77" totalsRowDxfId="76"/>
    <tableColumn id="2" xr3:uid="{CF55A4D9-4EAF-4488-9D16-A8CCE1642E28}" name="n" totalsRowFunction="sum" dataDxfId="75" totalsRowDxfId="74" dataCellStyle="Normal 2"/>
    <tableColumn id="3" xr3:uid="{B2C409B1-0CAF-475C-95C2-5725CFDDD05F}" name="pn" totalsRowFunction="sum" dataDxfId="73" totalsRowDxfId="72" dataCellStyle="Normal 2"/>
    <tableColumn id="7" xr3:uid="{E4A294A1-CB70-462F-8E71-FC7119FBE07E}" name="p (%)" dataDxfId="71" totalsRowDxfId="70" dataCellStyle="Percent">
      <calculatedColumnFormula>Table110[[#This Row],[pn]]/Table110[[#This Row],[n]]</calculatedColumnFormula>
    </tableColumn>
    <tableColumn id="10" xr3:uid="{5BCC7D88-5A55-4A43-8FCD-A6ECFACD714D}" name="p ̅" dataDxfId="69" totalsRowDxfId="68" dataCellStyle="Percent">
      <calculatedColumnFormula>Table110[[#Totals],[pn]]/Table110[[#Totals],[n]]</calculatedColumnFormula>
    </tableColumn>
    <tableColumn id="9" xr3:uid="{5BA5E26F-508D-4469-B884-FF2138E45FFF}" name="UCL (%)" dataDxfId="67" totalsRowDxfId="66" dataCellStyle="Percent">
      <calculatedColumnFormula>Table110[[#This Row],[p ̅]]+3/SQRT(Table110[[#This Row],[n]])*SQRT(Table110[[#This Row],[p ̅]]*(1-Table110[[#This Row],[p ̅]]))</calculatedColumnFormula>
    </tableColumn>
    <tableColumn id="12" xr3:uid="{7D4A0BB5-B81F-409E-AF76-0C72B9B56CAE}" name="LCL (%)" dataDxfId="65" totalsRowDxfId="64" dataCellStyle="Percent">
      <calculatedColumnFormula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8ED144-0EF9-4464-BF5B-28C02B44C88F}" name="Table11011" displayName="Table11011" ref="A1:G32" totalsRowCount="1" headerRowDxfId="63" dataDxfId="61" totalsRowDxfId="59" headerRowBorderDxfId="62" tableBorderDxfId="60">
  <autoFilter ref="A1:G31" xr:uid="{9DCC713D-3803-48C8-80BF-CAFBEAFD6F43}"/>
  <tableColumns count="7">
    <tableColumn id="1" xr3:uid="{929A56F6-50B7-41D3-8584-ED8B1F3C9942}" name="No." totalsRowLabel="Total" dataDxfId="58" totalsRowDxfId="57"/>
    <tableColumn id="2" xr3:uid="{45FA1A8D-03C6-4A54-ABA4-F81CAAF27C3E}" name="n" totalsRowFunction="sum" dataDxfId="56" totalsRowDxfId="55" dataCellStyle="Normal 2"/>
    <tableColumn id="3" xr3:uid="{446275A8-6679-436E-B6A7-703A9589B97D}" name="pn" totalsRowFunction="sum" dataDxfId="54" totalsRowDxfId="53" dataCellStyle="Normal 2"/>
    <tableColumn id="7" xr3:uid="{B9DF78B7-ECA8-4A45-BEE8-5FCDEE57D909}" name="p ̅" dataDxfId="52" totalsRowDxfId="51" dataCellStyle="Percent">
      <calculatedColumnFormula>Table11011[[#Totals],[pn]]/Table11011[[#Totals],[n]]</calculatedColumnFormula>
    </tableColumn>
    <tableColumn id="10" xr3:uid="{85DCB558-0B5D-40E9-BAA6-E817C8FF64FB}" name="p ̅n" dataDxfId="50" totalsRowDxfId="49" dataCellStyle="Percent">
      <calculatedColumnFormula>Table11011[[#This Row],[p ̅]]*Table11011[[#This Row],[n]]</calculatedColumnFormula>
    </tableColumn>
    <tableColumn id="9" xr3:uid="{67DF0219-C44F-4C5B-A342-88C342933AA1}" name="UCL (%)" dataDxfId="48" totalsRowDxfId="47" dataCellStyle="Percent">
      <calculatedColumnFormula>Table11011[[#This Row],[p ̅n]]+3*SQRT(Table11011[[#This Row],[p ̅n]])*SQRT(1-Table11011[[#This Row],[p ̅]])</calculatedColumnFormula>
    </tableColumn>
    <tableColumn id="12" xr3:uid="{761D3946-749F-4F2D-91CC-4AF90E1C362A}" name="LCL (%)" dataDxfId="46" totalsRowDxfId="45" dataCellStyle="Percent">
      <calculatedColumnFormula>IF(Table11011[[#This Row],[p ̅n]]-3*SQRT(Table11011[[#This Row],[p ̅n]])*SQRT(1-Table11011[[#This Row],[p ̅]])&lt;0,0,Table11011[[#This Row],[p ̅n]]-3*SQRT(Table11011[[#This Row],[p ̅n]])*SQRT(1-Table11011[[#This Row],[p ̅]]))</calculatedColumnFormula>
    </tableColumn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CC84C8-15D7-4829-ACF9-813DEDA0D5E1}" name="Table110118" displayName="Table110118" ref="A1:G23" totalsRowCount="1" headerRowDxfId="44" dataDxfId="42" totalsRowDxfId="40" headerRowBorderDxfId="43" tableBorderDxfId="41">
  <autoFilter ref="A1:G22" xr:uid="{9DCC713D-3803-48C8-80BF-CAFBEAFD6F43}"/>
  <tableColumns count="7">
    <tableColumn id="1" xr3:uid="{20553487-8768-4443-99C4-43A22742B934}" name="No." totalsRowLabel="Total" dataDxfId="39" totalsRowDxfId="38"/>
    <tableColumn id="2" xr3:uid="{A2DBC7B2-D1C0-44CA-B4E8-C97F38329C72}" name="subgroup size n" totalsRowFunction="sum" dataDxfId="37" totalsRowDxfId="36" dataCellStyle="Normal 2"/>
    <tableColumn id="3" xr3:uid="{47C17ED3-F250-4654-992F-34E7966BD787}" name="No. of pinholes c" totalsRowFunction="sum" dataDxfId="35" totalsRowDxfId="34" dataCellStyle="Normal 2"/>
    <tableColumn id="7" xr3:uid="{E8F938B4-8654-47FE-AD73-41B51081E8D1}" name="pinholes per unit u" totalsRowFunction="custom" dataDxfId="33" totalsRowDxfId="32" dataCellStyle="Percent">
      <calculatedColumnFormula>Table110118[[#This Row],[No. of pinholes c]]/Table110118[[#This Row],[subgroup size n]]</calculatedColumnFormula>
      <totalsRowFormula>Table110118[[#Totals],[No. of pinholes c]]/Table110118[[#Totals],[subgroup size n]]</totalsRowFormula>
    </tableColumn>
    <tableColumn id="10" xr3:uid="{1D925D52-B84B-49FC-ACAC-1F903CBEFF85}" name="u ̅" dataDxfId="31" totalsRowDxfId="30" dataCellStyle="Percent">
      <calculatedColumnFormula>Table110118[[#Totals],[No. of pinholes c]]/Table110118[[#Totals],[subgroup size n]]</calculatedColumnFormula>
    </tableColumn>
    <tableColumn id="9" xr3:uid="{C12EC1C9-F7F9-4982-8497-AAB0D9CC685A}" name="UCL " dataDxfId="29" totalsRowDxfId="28" dataCellStyle="Percent">
      <calculatedColumnFormula>Table110118[[#This Row],[u ̅]]+3*SQRT(Table110118[[#This Row],[u ̅]])/SQRT(Table110118[[#This Row],[subgroup size n]])</calculatedColumnFormula>
    </tableColumn>
    <tableColumn id="12" xr3:uid="{4B663719-B07A-48AC-B569-20AA4E67BAA0}" name="LCL" dataDxfId="27" totalsRowDxfId="26" dataCellStyle="Percent">
      <calculatedColumnFormula>IF(Table110118[[#This Row],[u ̅]]-3*SQRT(Table110118[[#This Row],[u ̅]])/SQRT(Table110118[[#This Row],[subgroup size n]])&lt;0,0,Table110118[[#This Row],[u ̅]]-3*SQRT(Table110118[[#This Row],[u ̅]])/SQRT(Table110118[[#This Row],[subgroup size n]]))</calculatedColumnFormula>
    </tableColumn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9BF59B-E3F1-4FFD-92D0-4300030FB5D9}" name="Table11011812" displayName="Table11011812" ref="A1:F22" totalsRowCount="1" headerRowDxfId="25" dataDxfId="23" totalsRowDxfId="21" headerRowBorderDxfId="24" tableBorderDxfId="22">
  <autoFilter ref="A1:F21" xr:uid="{9DCC713D-3803-48C8-80BF-CAFBEAFD6F43}"/>
  <tableColumns count="6">
    <tableColumn id="1" xr3:uid="{A9E0AA6C-A06E-41CB-AE27-7133508A0AB5}" name="No." totalsRowLabel="Total" dataDxfId="20" totalsRowDxfId="19"/>
    <tableColumn id="2" xr3:uid="{A6BC4166-5413-4DB9-8055-0B9E5B927A44}" name="sample size (1m)" totalsRowFunction="sum" dataDxfId="18" totalsRowDxfId="17" dataCellStyle="Normal 2"/>
    <tableColumn id="3" xr3:uid="{0CCEC6EC-446F-4BE6-A0A3-497834E11650}" name="No. of defects c" totalsRowFunction="sum" dataDxfId="16" totalsRowDxfId="15" dataCellStyle="Normal 2"/>
    <tableColumn id="10" xr3:uid="{3479C3EB-B417-4408-AB3C-B42EC608F667}" name="c ̅" dataDxfId="14" totalsRowDxfId="13" dataCellStyle="Percent">
      <calculatedColumnFormula>Table11011812[[#Totals],[No. of defects c]]/$H$2</calculatedColumnFormula>
    </tableColumn>
    <tableColumn id="9" xr3:uid="{E63B3C85-8CFA-417A-A532-47E32F409253}" name="UCL" dataDxfId="12" totalsRowDxfId="11" dataCellStyle="Percent">
      <calculatedColumnFormula>Table11011812[[#This Row],[c ̅]]+3*SQRT(Table11011812[[#This Row],[c ̅]])</calculatedColumnFormula>
    </tableColumn>
    <tableColumn id="12" xr3:uid="{85A79B16-654B-43A7-8579-DF76E25C223C}" name="LCL" dataDxfId="10" totalsRowDxfId="9" dataCellStyle="Percent">
      <calculatedColumnFormula>IF(Table11011812[[#This Row],[c ̅]]-3*SQRT(Table11011812[[#This Row],[c ̅]])&lt;0,0,Table11011812[[#This Row],[c ̅]]-3*SQRT(Table11011812[[#This Row],[c ̅]]))</calculatedColumnFormula>
    </tableColumn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B63345-D79E-4703-9B96-54CC38067A18}" name="Table12" displayName="Table12" ref="A1:G51" totalsRowShown="0" headerRowDxfId="8" dataDxfId="7">
  <autoFilter ref="A1:G51" xr:uid="{DCB63345-D79E-4703-9B96-54CC38067A18}"/>
  <tableColumns count="7">
    <tableColumn id="1" xr3:uid="{EF184281-014E-4E86-8720-C8560BAC7E83}" name="Number" dataDxfId="6"/>
    <tableColumn id="2" xr3:uid="{9A08D0D8-8A30-4D04-8F02-11E25E22DD52}" name="The Speed " dataDxfId="5"/>
    <tableColumn id="3" xr3:uid="{66ACD893-AEFB-4AD7-ABEB-8C4907AA86E1}" name="Length (mm)" dataDxfId="4"/>
    <tableColumn id="4" xr3:uid="{CA9952F3-6F2B-40C8-B91C-086AEDC8CB6D}" name="B&amp;C" dataDxfId="3">
      <calculatedColumnFormula>Table12[[#This Row],[The Speed ]]&amp;"-"&amp;Table12[[#This Row],[Length (mm)]]</calculatedColumnFormula>
    </tableColumn>
    <tableColumn id="5" xr3:uid="{166DBD13-BF53-429E-87BD-9218037A89E8}" name="Repeat x" dataDxfId="2">
      <calculatedColumnFormula>IF(COUNTIF(D:D, D2)&gt;1, Table12[[#This Row],[The Speed ]], "")</calculatedColumnFormula>
    </tableColumn>
    <tableColumn id="6" xr3:uid="{32AD907B-4A1A-475C-A994-5B04FBC67DE3}" name="Repeat y" dataDxfId="1">
      <calculatedColumnFormula>IF(COUNTIF(D:D, D2)&gt;1, Table12[[#This Row],[Length (mm)]], "")</calculatedColumnFormula>
    </tableColumn>
    <tableColumn id="7" xr3:uid="{E89D9675-686D-418A-8D7B-2FA4D694B6F0}" name="Size" dataDxfId="0">
      <calculatedColumnFormula>IF(Table12[[#This Row],[Repeat y]]="",0,1)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E896-F054-4A0E-A320-FBCFDD9CA2FF}">
  <sheetPr>
    <pageSetUpPr fitToPage="1"/>
  </sheetPr>
  <dimension ref="A1"/>
  <sheetViews>
    <sheetView showGridLines="0" showRowColHeaders="0" topLeftCell="A13" zoomScale="220" zoomScaleNormal="220" workbookViewId="0">
      <selection activeCell="Z50" sqref="Z50"/>
    </sheetView>
  </sheetViews>
  <sheetFormatPr defaultRowHeight="14.4" x14ac:dyDescent="0.3"/>
  <sheetData/>
  <printOptions horizontalCentered="1" verticalCentered="1"/>
  <pageMargins left="0.11811023622047245" right="0.11811023622047245" top="0.35433070866141736" bottom="0.23622047244094491" header="0.19685039370078741" footer="0.15748031496062992"/>
  <pageSetup paperSize="9" scale="78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3A12-202F-4A66-BF1B-DD2DD89E967B}">
  <sheetPr codeName="Sheet2"/>
  <dimension ref="B1:K101"/>
  <sheetViews>
    <sheetView showGridLines="0" zoomScale="175" zoomScaleNormal="175" workbookViewId="0">
      <selection activeCell="K3" sqref="K3"/>
    </sheetView>
  </sheetViews>
  <sheetFormatPr defaultRowHeight="14.4" x14ac:dyDescent="0.3"/>
  <cols>
    <col min="2" max="2" width="15" style="1" customWidth="1"/>
    <col min="10" max="10" width="10.109375" customWidth="1"/>
  </cols>
  <sheetData>
    <row r="1" spans="2:11" x14ac:dyDescent="0.3">
      <c r="B1" s="1" t="s">
        <v>0</v>
      </c>
    </row>
    <row r="2" spans="2:11" x14ac:dyDescent="0.3">
      <c r="B2" s="1">
        <v>3.56</v>
      </c>
      <c r="D2" t="s">
        <v>103</v>
      </c>
      <c r="F2">
        <f>AVERAGE(Table1_2[Thickness (Data)])</f>
        <v>3.4764000000000017</v>
      </c>
      <c r="H2" t="s">
        <v>107</v>
      </c>
    </row>
    <row r="3" spans="2:11" x14ac:dyDescent="0.3">
      <c r="B3" s="1">
        <v>3.46</v>
      </c>
      <c r="D3" t="s">
        <v>104</v>
      </c>
      <c r="F3">
        <f>_xlfn.STDEV.S(Table1_2[Thickness (Data)])</f>
        <v>6.2789048778147991E-2</v>
      </c>
      <c r="H3" s="40" t="s">
        <v>106</v>
      </c>
      <c r="I3" s="42">
        <v>3.4</v>
      </c>
      <c r="J3" s="41" t="s">
        <v>109</v>
      </c>
      <c r="K3" s="43">
        <f>COUNTIF(Table1_2[Thickness (Data)], "&lt;" &amp; I3)
/COUNT(Table1_2[Thickness (Data)])</f>
        <v>0.08</v>
      </c>
    </row>
    <row r="4" spans="2:11" x14ac:dyDescent="0.3">
      <c r="B4" s="1">
        <v>3.48</v>
      </c>
      <c r="H4" s="40" t="s">
        <v>105</v>
      </c>
      <c r="I4" s="42">
        <v>3.6</v>
      </c>
      <c r="J4" s="41" t="s">
        <v>108</v>
      </c>
      <c r="K4" s="43">
        <f>COUNTIF(Table1_2[Thickness (Data)], "&gt;" &amp; I4)
/COUNT(Table1_2[Thickness (Data)])</f>
        <v>0.02</v>
      </c>
    </row>
    <row r="5" spans="2:11" x14ac:dyDescent="0.3">
      <c r="B5" s="1">
        <v>3.5</v>
      </c>
      <c r="H5" s="45" t="s">
        <v>110</v>
      </c>
      <c r="I5" s="45"/>
      <c r="J5" s="45"/>
      <c r="K5" s="44">
        <f>1-K3-K4</f>
        <v>0.9</v>
      </c>
    </row>
    <row r="6" spans="2:11" x14ac:dyDescent="0.3">
      <c r="B6" s="1">
        <v>3.42</v>
      </c>
    </row>
    <row r="7" spans="2:11" x14ac:dyDescent="0.3">
      <c r="B7" s="1">
        <v>3.43</v>
      </c>
    </row>
    <row r="8" spans="2:11" x14ac:dyDescent="0.3">
      <c r="B8" s="1">
        <v>3.52</v>
      </c>
    </row>
    <row r="9" spans="2:11" x14ac:dyDescent="0.3">
      <c r="B9" s="1">
        <v>3.49</v>
      </c>
    </row>
    <row r="10" spans="2:11" x14ac:dyDescent="0.3">
      <c r="B10" s="1">
        <v>3.44</v>
      </c>
    </row>
    <row r="11" spans="2:11" x14ac:dyDescent="0.3">
      <c r="B11" s="1">
        <v>3.5</v>
      </c>
    </row>
    <row r="12" spans="2:11" x14ac:dyDescent="0.3">
      <c r="B12" s="1">
        <v>3.48</v>
      </c>
    </row>
    <row r="13" spans="2:11" x14ac:dyDescent="0.3">
      <c r="B13" s="1">
        <v>3.56</v>
      </c>
    </row>
    <row r="14" spans="2:11" x14ac:dyDescent="0.3">
      <c r="B14" s="1">
        <v>3.5</v>
      </c>
    </row>
    <row r="15" spans="2:11" x14ac:dyDescent="0.3">
      <c r="B15" s="1">
        <v>3.52</v>
      </c>
    </row>
    <row r="16" spans="2:11" x14ac:dyDescent="0.3">
      <c r="B16" s="1">
        <v>3.47</v>
      </c>
    </row>
    <row r="17" spans="2:2" x14ac:dyDescent="0.3">
      <c r="B17" s="1">
        <v>3.48</v>
      </c>
    </row>
    <row r="18" spans="2:2" x14ac:dyDescent="0.3">
      <c r="B18" s="1">
        <v>3.46</v>
      </c>
    </row>
    <row r="19" spans="2:2" x14ac:dyDescent="0.3">
      <c r="B19" s="1">
        <v>3.5</v>
      </c>
    </row>
    <row r="20" spans="2:2" x14ac:dyDescent="0.3">
      <c r="B20" s="1">
        <v>3.56</v>
      </c>
    </row>
    <row r="21" spans="2:2" x14ac:dyDescent="0.3">
      <c r="B21" s="1">
        <v>3.38</v>
      </c>
    </row>
    <row r="22" spans="2:2" x14ac:dyDescent="0.3">
      <c r="B22" s="1">
        <v>3.41</v>
      </c>
    </row>
    <row r="23" spans="2:2" x14ac:dyDescent="0.3">
      <c r="B23" s="1">
        <v>3.37</v>
      </c>
    </row>
    <row r="24" spans="2:2" x14ac:dyDescent="0.3">
      <c r="B24" s="1">
        <v>3.47</v>
      </c>
    </row>
    <row r="25" spans="2:2" x14ac:dyDescent="0.3">
      <c r="B25" s="1">
        <v>3.49</v>
      </c>
    </row>
    <row r="26" spans="2:2" x14ac:dyDescent="0.3">
      <c r="B26" s="1">
        <v>3.45</v>
      </c>
    </row>
    <row r="27" spans="2:2" x14ac:dyDescent="0.3">
      <c r="B27" s="1">
        <v>3.44</v>
      </c>
    </row>
    <row r="28" spans="2:2" x14ac:dyDescent="0.3">
      <c r="B28" s="1">
        <v>3.5</v>
      </c>
    </row>
    <row r="29" spans="2:2" x14ac:dyDescent="0.3">
      <c r="B29" s="1">
        <v>3.49</v>
      </c>
    </row>
    <row r="30" spans="2:2" x14ac:dyDescent="0.3">
      <c r="B30" s="1">
        <v>3.46</v>
      </c>
    </row>
    <row r="31" spans="2:2" x14ac:dyDescent="0.3">
      <c r="B31" s="1">
        <v>3.46</v>
      </c>
    </row>
    <row r="32" spans="2:2" x14ac:dyDescent="0.3">
      <c r="B32" s="1">
        <v>3.55</v>
      </c>
    </row>
    <row r="33" spans="2:2" x14ac:dyDescent="0.3">
      <c r="B33" s="1">
        <v>3.52</v>
      </c>
    </row>
    <row r="34" spans="2:2" x14ac:dyDescent="0.3">
      <c r="B34" s="1">
        <v>3.44</v>
      </c>
    </row>
    <row r="35" spans="2:2" x14ac:dyDescent="0.3">
      <c r="B35" s="1">
        <v>3.5</v>
      </c>
    </row>
    <row r="36" spans="2:2" x14ac:dyDescent="0.3">
      <c r="B36" s="1">
        <v>3.45</v>
      </c>
    </row>
    <row r="37" spans="2:2" x14ac:dyDescent="0.3">
      <c r="B37" s="1">
        <v>3.44</v>
      </c>
    </row>
    <row r="38" spans="2:2" x14ac:dyDescent="0.3">
      <c r="B38" s="1">
        <v>3.48</v>
      </c>
    </row>
    <row r="39" spans="2:2" x14ac:dyDescent="0.3">
      <c r="B39" s="1">
        <v>3.46</v>
      </c>
    </row>
    <row r="40" spans="2:2" x14ac:dyDescent="0.3">
      <c r="B40" s="1">
        <v>3.52</v>
      </c>
    </row>
    <row r="41" spans="2:2" x14ac:dyDescent="0.3">
      <c r="B41" s="1">
        <v>3.46</v>
      </c>
    </row>
    <row r="42" spans="2:2" x14ac:dyDescent="0.3">
      <c r="B42" s="1">
        <v>3.48</v>
      </c>
    </row>
    <row r="43" spans="2:2" x14ac:dyDescent="0.3">
      <c r="B43" s="1">
        <v>3.48</v>
      </c>
    </row>
    <row r="44" spans="2:2" x14ac:dyDescent="0.3">
      <c r="B44" s="1">
        <v>3.32</v>
      </c>
    </row>
    <row r="45" spans="2:2" x14ac:dyDescent="0.3">
      <c r="B45" s="1">
        <v>3.4</v>
      </c>
    </row>
    <row r="46" spans="2:2" x14ac:dyDescent="0.3">
      <c r="B46" s="1">
        <v>3.52</v>
      </c>
    </row>
    <row r="47" spans="2:2" x14ac:dyDescent="0.3">
      <c r="B47" s="1">
        <v>3.34</v>
      </c>
    </row>
    <row r="48" spans="2:2" x14ac:dyDescent="0.3">
      <c r="B48" s="1">
        <v>3.46</v>
      </c>
    </row>
    <row r="49" spans="2:2" x14ac:dyDescent="0.3">
      <c r="B49" s="1">
        <v>3.43</v>
      </c>
    </row>
    <row r="50" spans="2:2" x14ac:dyDescent="0.3">
      <c r="B50" s="1">
        <v>3.3</v>
      </c>
    </row>
    <row r="51" spans="2:2" x14ac:dyDescent="0.3">
      <c r="B51" s="1">
        <v>3.46</v>
      </c>
    </row>
    <row r="52" spans="2:2" x14ac:dyDescent="0.3">
      <c r="B52" s="1">
        <v>3.59</v>
      </c>
    </row>
    <row r="53" spans="2:2" x14ac:dyDescent="0.3">
      <c r="B53" s="1">
        <v>3.63</v>
      </c>
    </row>
    <row r="54" spans="2:2" x14ac:dyDescent="0.3">
      <c r="B54" s="1">
        <v>3.59</v>
      </c>
    </row>
    <row r="55" spans="2:2" x14ac:dyDescent="0.3">
      <c r="B55" s="1">
        <v>3.47</v>
      </c>
    </row>
    <row r="56" spans="2:2" x14ac:dyDescent="0.3">
      <c r="B56" s="1">
        <v>3.38</v>
      </c>
    </row>
    <row r="57" spans="2:2" x14ac:dyDescent="0.3">
      <c r="B57" s="1">
        <v>3.52</v>
      </c>
    </row>
    <row r="58" spans="2:2" x14ac:dyDescent="0.3">
      <c r="B58" s="1">
        <v>3.45</v>
      </c>
    </row>
    <row r="59" spans="2:2" x14ac:dyDescent="0.3">
      <c r="B59" s="1">
        <v>3.48</v>
      </c>
    </row>
    <row r="60" spans="2:2" x14ac:dyDescent="0.3">
      <c r="B60" s="1">
        <v>3.31</v>
      </c>
    </row>
    <row r="61" spans="2:2" x14ac:dyDescent="0.3">
      <c r="B61" s="1">
        <v>3.46</v>
      </c>
    </row>
    <row r="62" spans="2:2" x14ac:dyDescent="0.3">
      <c r="B62" s="1">
        <v>3.4</v>
      </c>
    </row>
    <row r="63" spans="2:2" x14ac:dyDescent="0.3">
      <c r="B63" s="1">
        <v>3.54</v>
      </c>
    </row>
    <row r="64" spans="2:2" x14ac:dyDescent="0.3">
      <c r="B64" s="1">
        <v>3.46</v>
      </c>
    </row>
    <row r="65" spans="2:2" x14ac:dyDescent="0.3">
      <c r="B65" s="1">
        <v>3.51</v>
      </c>
    </row>
    <row r="66" spans="2:2" x14ac:dyDescent="0.3">
      <c r="B66" s="1">
        <v>3.48</v>
      </c>
    </row>
    <row r="67" spans="2:2" x14ac:dyDescent="0.3">
      <c r="B67" s="1">
        <v>3.5</v>
      </c>
    </row>
    <row r="68" spans="2:2" x14ac:dyDescent="0.3">
      <c r="B68" s="1">
        <v>3.68</v>
      </c>
    </row>
    <row r="69" spans="2:2" x14ac:dyDescent="0.3">
      <c r="B69" s="1">
        <v>3.6</v>
      </c>
    </row>
    <row r="70" spans="2:2" x14ac:dyDescent="0.3">
      <c r="B70" s="1">
        <v>3.46</v>
      </c>
    </row>
    <row r="71" spans="2:2" x14ac:dyDescent="0.3">
      <c r="B71" s="1">
        <v>3.52</v>
      </c>
    </row>
    <row r="72" spans="2:2" x14ac:dyDescent="0.3">
      <c r="B72" s="1">
        <v>3.48</v>
      </c>
    </row>
    <row r="73" spans="2:2" x14ac:dyDescent="0.3">
      <c r="B73" s="1">
        <v>3.5</v>
      </c>
    </row>
    <row r="74" spans="2:2" x14ac:dyDescent="0.3">
      <c r="B74" s="1">
        <v>3.56</v>
      </c>
    </row>
    <row r="75" spans="2:2" x14ac:dyDescent="0.3">
      <c r="B75" s="1">
        <v>3.5</v>
      </c>
    </row>
    <row r="76" spans="2:2" x14ac:dyDescent="0.3">
      <c r="B76" s="1">
        <v>3.52</v>
      </c>
    </row>
    <row r="77" spans="2:2" x14ac:dyDescent="0.3">
      <c r="B77" s="1">
        <v>3.46</v>
      </c>
    </row>
    <row r="78" spans="2:2" x14ac:dyDescent="0.3">
      <c r="B78" s="1">
        <v>3.48</v>
      </c>
    </row>
    <row r="79" spans="2:2" x14ac:dyDescent="0.3">
      <c r="B79" s="1">
        <v>3.46</v>
      </c>
    </row>
    <row r="80" spans="2:2" x14ac:dyDescent="0.3">
      <c r="B80" s="1">
        <v>3.52</v>
      </c>
    </row>
    <row r="81" spans="2:2" x14ac:dyDescent="0.3">
      <c r="B81" s="1">
        <v>3.56</v>
      </c>
    </row>
    <row r="82" spans="2:2" x14ac:dyDescent="0.3">
      <c r="B82" s="1">
        <v>3.52</v>
      </c>
    </row>
    <row r="83" spans="2:2" x14ac:dyDescent="0.3">
      <c r="B83" s="1">
        <v>3.48</v>
      </c>
    </row>
    <row r="84" spans="2:2" x14ac:dyDescent="0.3">
      <c r="B84" s="1">
        <v>3.46</v>
      </c>
    </row>
    <row r="85" spans="2:2" x14ac:dyDescent="0.3">
      <c r="B85" s="1">
        <v>3.45</v>
      </c>
    </row>
    <row r="86" spans="2:2" x14ac:dyDescent="0.3">
      <c r="B86" s="1">
        <v>3.46</v>
      </c>
    </row>
    <row r="87" spans="2:2" x14ac:dyDescent="0.3">
      <c r="B87" s="1">
        <v>3.54</v>
      </c>
    </row>
    <row r="88" spans="2:2" x14ac:dyDescent="0.3">
      <c r="B88" s="1">
        <v>3.54</v>
      </c>
    </row>
    <row r="89" spans="2:2" x14ac:dyDescent="0.3">
      <c r="B89" s="1">
        <v>3.48</v>
      </c>
    </row>
    <row r="90" spans="2:2" x14ac:dyDescent="0.3">
      <c r="B90" s="1">
        <v>3.49</v>
      </c>
    </row>
    <row r="91" spans="2:2" x14ac:dyDescent="0.3">
      <c r="B91" s="1">
        <v>3.41</v>
      </c>
    </row>
    <row r="92" spans="2:2" x14ac:dyDescent="0.3">
      <c r="B92" s="1">
        <v>3.41</v>
      </c>
    </row>
    <row r="93" spans="2:2" x14ac:dyDescent="0.3">
      <c r="B93" s="1">
        <v>3.45</v>
      </c>
    </row>
    <row r="94" spans="2:2" x14ac:dyDescent="0.3">
      <c r="B94" s="1">
        <v>3.34</v>
      </c>
    </row>
    <row r="95" spans="2:2" x14ac:dyDescent="0.3">
      <c r="B95" s="1">
        <v>3.44</v>
      </c>
    </row>
    <row r="96" spans="2:2" x14ac:dyDescent="0.3">
      <c r="B96" s="1">
        <v>3.47</v>
      </c>
    </row>
    <row r="97" spans="2:2" x14ac:dyDescent="0.3">
      <c r="B97" s="1">
        <v>3.47</v>
      </c>
    </row>
    <row r="98" spans="2:2" x14ac:dyDescent="0.3">
      <c r="B98" s="1">
        <v>3.41</v>
      </c>
    </row>
    <row r="99" spans="2:2" x14ac:dyDescent="0.3">
      <c r="B99" s="1">
        <v>3.48</v>
      </c>
    </row>
    <row r="100" spans="2:2" x14ac:dyDescent="0.3">
      <c r="B100" s="1">
        <v>3.54</v>
      </c>
    </row>
    <row r="101" spans="2:2" x14ac:dyDescent="0.3">
      <c r="B101" s="1">
        <v>3.47</v>
      </c>
    </row>
  </sheetData>
  <mergeCells count="1">
    <mergeCell ref="H5:J5"/>
  </mergeCells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1247-FF66-4C68-941A-DF99AC631F65}">
  <sheetPr codeName="Sheet3"/>
  <dimension ref="A1"/>
  <sheetViews>
    <sheetView showGridLines="0" tabSelected="1" zoomScale="167" zoomScaleNormal="280" workbookViewId="0">
      <selection activeCell="I21" sqref="I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86E2-E276-42A5-8F7D-24E0F04BBD2C}">
  <sheetPr codeName="Sheet4"/>
  <dimension ref="B4:S19"/>
  <sheetViews>
    <sheetView showGridLines="0" zoomScale="265" zoomScaleNormal="265" workbookViewId="0">
      <selection activeCell="C26" sqref="C26"/>
    </sheetView>
  </sheetViews>
  <sheetFormatPr defaultRowHeight="14.4" x14ac:dyDescent="0.3"/>
  <cols>
    <col min="2" max="2" width="26.44140625" customWidth="1"/>
    <col min="3" max="3" width="13.5546875" customWidth="1"/>
  </cols>
  <sheetData>
    <row r="4" spans="2:19" x14ac:dyDescent="0.3">
      <c r="B4" t="s">
        <v>1</v>
      </c>
      <c r="C4" t="s">
        <v>2</v>
      </c>
    </row>
    <row r="5" spans="2:19" x14ac:dyDescent="0.3">
      <c r="B5" t="s">
        <v>3</v>
      </c>
      <c r="C5">
        <v>400</v>
      </c>
    </row>
    <row r="6" spans="2:19" x14ac:dyDescent="0.3">
      <c r="B6" t="s">
        <v>4</v>
      </c>
      <c r="C6">
        <v>200</v>
      </c>
    </row>
    <row r="7" spans="2:19" x14ac:dyDescent="0.3">
      <c r="B7" t="s">
        <v>5</v>
      </c>
      <c r="C7">
        <v>150</v>
      </c>
    </row>
    <row r="8" spans="2:19" x14ac:dyDescent="0.3">
      <c r="B8" t="s">
        <v>6</v>
      </c>
      <c r="C8">
        <v>120</v>
      </c>
    </row>
    <row r="9" spans="2:19" x14ac:dyDescent="0.3">
      <c r="B9" t="s">
        <v>7</v>
      </c>
      <c r="C9">
        <v>80</v>
      </c>
    </row>
    <row r="10" spans="2:19" x14ac:dyDescent="0.3">
      <c r="B10" t="s">
        <v>8</v>
      </c>
      <c r="C10">
        <v>50</v>
      </c>
      <c r="S10" s="2"/>
    </row>
    <row r="11" spans="2:19" x14ac:dyDescent="0.3">
      <c r="B11" t="s">
        <v>9</v>
      </c>
      <c r="C11">
        <v>30</v>
      </c>
    </row>
    <row r="12" spans="2:19" x14ac:dyDescent="0.3">
      <c r="B12" t="s">
        <v>10</v>
      </c>
      <c r="C12">
        <v>20</v>
      </c>
    </row>
    <row r="13" spans="2:19" x14ac:dyDescent="0.3">
      <c r="B13" t="s">
        <v>11</v>
      </c>
      <c r="C13">
        <v>15</v>
      </c>
    </row>
    <row r="14" spans="2:19" x14ac:dyDescent="0.3">
      <c r="B14" t="s">
        <v>12</v>
      </c>
      <c r="C14">
        <v>10</v>
      </c>
    </row>
    <row r="15" spans="2:19" x14ac:dyDescent="0.3">
      <c r="B15" t="s">
        <v>13</v>
      </c>
      <c r="C15">
        <v>8</v>
      </c>
    </row>
    <row r="16" spans="2:19" x14ac:dyDescent="0.3">
      <c r="B16" t="s">
        <v>14</v>
      </c>
      <c r="C16">
        <v>6</v>
      </c>
    </row>
    <row r="17" spans="2:3" x14ac:dyDescent="0.3">
      <c r="B17" t="s">
        <v>15</v>
      </c>
      <c r="C17">
        <v>5</v>
      </c>
    </row>
    <row r="18" spans="2:3" x14ac:dyDescent="0.3">
      <c r="B18" t="s">
        <v>16</v>
      </c>
      <c r="C18">
        <v>4</v>
      </c>
    </row>
    <row r="19" spans="2:3" x14ac:dyDescent="0.3">
      <c r="B19" t="s">
        <v>17</v>
      </c>
      <c r="C19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2E42-41E0-46EB-ACED-8A1CD3C8657D}">
  <sheetPr codeName="Sheet5"/>
  <dimension ref="B2:E15"/>
  <sheetViews>
    <sheetView zoomScale="265" zoomScaleNormal="265" workbookViewId="0">
      <selection activeCell="D20" sqref="D20"/>
    </sheetView>
  </sheetViews>
  <sheetFormatPr defaultRowHeight="14.4" x14ac:dyDescent="0.3"/>
  <cols>
    <col min="3" max="4" width="11.88671875" customWidth="1"/>
  </cols>
  <sheetData>
    <row r="2" spans="2:5" x14ac:dyDescent="0.3">
      <c r="C2" s="3" t="s">
        <v>18</v>
      </c>
      <c r="D2" s="3"/>
    </row>
    <row r="3" spans="2:5" x14ac:dyDescent="0.3">
      <c r="B3" t="s">
        <v>19</v>
      </c>
      <c r="C3" t="s">
        <v>20</v>
      </c>
      <c r="D3" t="s">
        <v>21</v>
      </c>
      <c r="E3" t="s">
        <v>22</v>
      </c>
    </row>
    <row r="4" spans="2:5" x14ac:dyDescent="0.3">
      <c r="B4">
        <v>1</v>
      </c>
      <c r="C4">
        <v>1235</v>
      </c>
      <c r="D4">
        <v>1456</v>
      </c>
      <c r="E4">
        <v>1456</v>
      </c>
    </row>
    <row r="5" spans="2:5" x14ac:dyDescent="0.3">
      <c r="B5">
        <v>2</v>
      </c>
      <c r="C5">
        <v>1219</v>
      </c>
      <c r="D5">
        <v>1659</v>
      </c>
      <c r="E5">
        <v>1659</v>
      </c>
    </row>
    <row r="6" spans="2:5" x14ac:dyDescent="0.3">
      <c r="B6">
        <v>3</v>
      </c>
      <c r="C6">
        <v>1014</v>
      </c>
      <c r="D6">
        <v>1767</v>
      </c>
      <c r="E6">
        <v>1767</v>
      </c>
    </row>
    <row r="7" spans="2:5" x14ac:dyDescent="0.3">
      <c r="B7">
        <v>4</v>
      </c>
      <c r="C7">
        <v>1421</v>
      </c>
      <c r="D7">
        <v>1700</v>
      </c>
      <c r="E7">
        <v>1700</v>
      </c>
    </row>
    <row r="8" spans="2:5" x14ac:dyDescent="0.3">
      <c r="B8">
        <v>5</v>
      </c>
      <c r="C8">
        <v>1399</v>
      </c>
      <c r="D8">
        <v>1651</v>
      </c>
      <c r="E8">
        <v>1651</v>
      </c>
    </row>
    <row r="9" spans="2:5" x14ac:dyDescent="0.3">
      <c r="B9">
        <v>6</v>
      </c>
      <c r="C9">
        <v>1099</v>
      </c>
      <c r="D9">
        <v>1632</v>
      </c>
      <c r="E9">
        <v>1632</v>
      </c>
    </row>
    <row r="10" spans="2:5" x14ac:dyDescent="0.3">
      <c r="B10">
        <v>7</v>
      </c>
      <c r="C10">
        <v>1260</v>
      </c>
      <c r="D10">
        <v>1707</v>
      </c>
      <c r="E10">
        <v>1707</v>
      </c>
    </row>
    <row r="11" spans="2:5" x14ac:dyDescent="0.3">
      <c r="B11">
        <v>8</v>
      </c>
      <c r="C11">
        <v>1056</v>
      </c>
      <c r="D11">
        <v>1474</v>
      </c>
      <c r="E11">
        <v>1474</v>
      </c>
    </row>
    <row r="12" spans="2:5" x14ac:dyDescent="0.3">
      <c r="B12">
        <v>9</v>
      </c>
      <c r="C12">
        <v>1470</v>
      </c>
      <c r="D12">
        <v>1365</v>
      </c>
      <c r="E12">
        <v>1365</v>
      </c>
    </row>
    <row r="13" spans="2:5" x14ac:dyDescent="0.3">
      <c r="B13">
        <v>10</v>
      </c>
      <c r="C13">
        <v>1481</v>
      </c>
      <c r="D13">
        <v>1668</v>
      </c>
      <c r="E13">
        <v>1668</v>
      </c>
    </row>
    <row r="14" spans="2:5" x14ac:dyDescent="0.3">
      <c r="B14">
        <v>11</v>
      </c>
      <c r="C14">
        <v>1500</v>
      </c>
      <c r="D14">
        <v>1400</v>
      </c>
      <c r="E14">
        <v>1400</v>
      </c>
    </row>
    <row r="15" spans="2:5" x14ac:dyDescent="0.3">
      <c r="B15">
        <v>12</v>
      </c>
      <c r="C15">
        <v>1600</v>
      </c>
      <c r="D15">
        <v>1600</v>
      </c>
      <c r="E15">
        <v>1600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8688-E956-4E82-836D-0997F73304AD}">
  <sheetPr codeName="Sheet6"/>
  <dimension ref="B2:D24"/>
  <sheetViews>
    <sheetView zoomScale="295" zoomScaleNormal="295" workbookViewId="0">
      <selection activeCell="D9" sqref="D9"/>
    </sheetView>
  </sheetViews>
  <sheetFormatPr defaultRowHeight="14.4" x14ac:dyDescent="0.3"/>
  <cols>
    <col min="3" max="4" width="11.88671875" customWidth="1"/>
  </cols>
  <sheetData>
    <row r="2" spans="2:4" x14ac:dyDescent="0.3">
      <c r="C2" s="3" t="s">
        <v>18</v>
      </c>
      <c r="D2" s="3"/>
    </row>
    <row r="3" spans="2:4" x14ac:dyDescent="0.3">
      <c r="B3" t="s">
        <v>19</v>
      </c>
      <c r="C3" t="s">
        <v>20</v>
      </c>
      <c r="D3" t="s">
        <v>21</v>
      </c>
    </row>
    <row r="4" spans="2:4" x14ac:dyDescent="0.3">
      <c r="B4">
        <v>1</v>
      </c>
      <c r="C4">
        <v>1235</v>
      </c>
      <c r="D4">
        <v>1456</v>
      </c>
    </row>
    <row r="5" spans="2:4" x14ac:dyDescent="0.3">
      <c r="B5">
        <v>2</v>
      </c>
      <c r="C5">
        <v>1219</v>
      </c>
      <c r="D5">
        <v>1659</v>
      </c>
    </row>
    <row r="6" spans="2:4" x14ac:dyDescent="0.3">
      <c r="B6">
        <v>3</v>
      </c>
      <c r="C6">
        <v>1014</v>
      </c>
      <c r="D6">
        <v>1767</v>
      </c>
    </row>
    <row r="7" spans="2:4" x14ac:dyDescent="0.3">
      <c r="B7">
        <v>4</v>
      </c>
      <c r="C7">
        <v>1421</v>
      </c>
      <c r="D7">
        <v>1700</v>
      </c>
    </row>
    <row r="8" spans="2:4" x14ac:dyDescent="0.3">
      <c r="B8">
        <v>5</v>
      </c>
      <c r="C8">
        <v>1399</v>
      </c>
      <c r="D8">
        <v>1651</v>
      </c>
    </row>
    <row r="9" spans="2:4" x14ac:dyDescent="0.3">
      <c r="B9">
        <v>6</v>
      </c>
      <c r="C9">
        <v>1099</v>
      </c>
      <c r="D9">
        <v>1632</v>
      </c>
    </row>
    <row r="10" spans="2:4" x14ac:dyDescent="0.3">
      <c r="B10">
        <v>7</v>
      </c>
      <c r="C10">
        <v>1260</v>
      </c>
      <c r="D10">
        <v>1707</v>
      </c>
    </row>
    <row r="11" spans="2:4" x14ac:dyDescent="0.3">
      <c r="B11">
        <v>8</v>
      </c>
      <c r="C11">
        <v>1056</v>
      </c>
      <c r="D11">
        <v>1474</v>
      </c>
    </row>
    <row r="12" spans="2:4" x14ac:dyDescent="0.3">
      <c r="B12">
        <v>9</v>
      </c>
      <c r="C12">
        <v>1470</v>
      </c>
      <c r="D12">
        <v>1365</v>
      </c>
    </row>
    <row r="13" spans="2:4" x14ac:dyDescent="0.3">
      <c r="B13">
        <v>10</v>
      </c>
      <c r="C13">
        <v>1481</v>
      </c>
      <c r="D13">
        <v>1668</v>
      </c>
    </row>
    <row r="14" spans="2:4" x14ac:dyDescent="0.3">
      <c r="B14">
        <v>11</v>
      </c>
      <c r="C14">
        <v>1399</v>
      </c>
      <c r="D14">
        <v>1659</v>
      </c>
    </row>
    <row r="15" spans="2:4" x14ac:dyDescent="0.3">
      <c r="B15">
        <v>12</v>
      </c>
      <c r="C15">
        <v>1099</v>
      </c>
      <c r="D15">
        <v>1767</v>
      </c>
    </row>
    <row r="16" spans="2:4" x14ac:dyDescent="0.3">
      <c r="B16">
        <v>13</v>
      </c>
      <c r="C16">
        <v>1260</v>
      </c>
      <c r="D16">
        <v>1700</v>
      </c>
    </row>
    <row r="17" spans="2:4" x14ac:dyDescent="0.3">
      <c r="B17">
        <v>14</v>
      </c>
      <c r="C17">
        <v>1056</v>
      </c>
      <c r="D17">
        <v>1651</v>
      </c>
    </row>
    <row r="18" spans="2:4" x14ac:dyDescent="0.3">
      <c r="B18">
        <v>15</v>
      </c>
      <c r="C18">
        <v>1056</v>
      </c>
      <c r="D18">
        <v>1651</v>
      </c>
    </row>
    <row r="19" spans="2:4" x14ac:dyDescent="0.3">
      <c r="B19">
        <v>16</v>
      </c>
      <c r="C19">
        <v>1056</v>
      </c>
      <c r="D19">
        <v>1651</v>
      </c>
    </row>
    <row r="20" spans="2:4" x14ac:dyDescent="0.3">
      <c r="B20">
        <v>17</v>
      </c>
      <c r="C20">
        <v>1056</v>
      </c>
      <c r="D20">
        <v>1651</v>
      </c>
    </row>
    <row r="21" spans="2:4" x14ac:dyDescent="0.3">
      <c r="B21">
        <v>18</v>
      </c>
      <c r="C21">
        <v>1056</v>
      </c>
      <c r="D21">
        <v>1651</v>
      </c>
    </row>
    <row r="22" spans="2:4" x14ac:dyDescent="0.3">
      <c r="B22">
        <v>19</v>
      </c>
    </row>
    <row r="23" spans="2:4" x14ac:dyDescent="0.3">
      <c r="B23">
        <v>20</v>
      </c>
    </row>
    <row r="24" spans="2:4" x14ac:dyDescent="0.3">
      <c r="B24">
        <v>21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6E0B-0609-4BA0-AB1B-85B4E08E91A4}">
  <sheetPr codeName="Sheet7"/>
  <dimension ref="B2:D9"/>
  <sheetViews>
    <sheetView zoomScale="280" zoomScaleNormal="280" workbookViewId="0">
      <selection activeCell="C9" sqref="C9"/>
    </sheetView>
  </sheetViews>
  <sheetFormatPr defaultRowHeight="14.4" x14ac:dyDescent="0.3"/>
  <cols>
    <col min="2" max="2" width="10.88671875" customWidth="1"/>
    <col min="3" max="3" width="11.88671875" customWidth="1"/>
  </cols>
  <sheetData>
    <row r="2" spans="2:4" x14ac:dyDescent="0.3">
      <c r="B2" s="3" t="s">
        <v>23</v>
      </c>
      <c r="C2" s="3"/>
      <c r="D2" s="4" t="str">
        <f>Table356[[#Totals],[Participants]]&amp;" "&amp;Table356[[#Headers],[Participants]]</f>
        <v>78 Participants</v>
      </c>
    </row>
    <row r="3" spans="2:4" x14ac:dyDescent="0.3">
      <c r="B3" t="s">
        <v>24</v>
      </c>
      <c r="C3" t="s">
        <v>25</v>
      </c>
    </row>
    <row r="4" spans="2:4" x14ac:dyDescent="0.3">
      <c r="B4" t="s">
        <v>26</v>
      </c>
      <c r="C4">
        <v>15</v>
      </c>
    </row>
    <row r="5" spans="2:4" x14ac:dyDescent="0.3">
      <c r="B5" t="s">
        <v>27</v>
      </c>
      <c r="C5">
        <v>2</v>
      </c>
    </row>
    <row r="6" spans="2:4" x14ac:dyDescent="0.3">
      <c r="B6" t="s">
        <v>28</v>
      </c>
      <c r="C6">
        <v>50</v>
      </c>
    </row>
    <row r="7" spans="2:4" x14ac:dyDescent="0.3">
      <c r="B7" t="s">
        <v>29</v>
      </c>
      <c r="C7">
        <v>1</v>
      </c>
    </row>
    <row r="8" spans="2:4" x14ac:dyDescent="0.3">
      <c r="B8" t="s">
        <v>30</v>
      </c>
      <c r="C8">
        <v>10</v>
      </c>
    </row>
    <row r="9" spans="2:4" x14ac:dyDescent="0.3">
      <c r="B9" t="s">
        <v>31</v>
      </c>
      <c r="C9">
        <f>SUBTOTAL(109,Table356[Participants])</f>
        <v>78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8056-8FE5-4228-B84D-BA91FA1FA53F}">
  <sheetPr codeName="Sheet8"/>
  <dimension ref="A1:AH27"/>
  <sheetViews>
    <sheetView topLeftCell="C1" zoomScale="235" zoomScaleNormal="235" workbookViewId="0">
      <selection activeCell="AB15" sqref="AB15"/>
    </sheetView>
  </sheetViews>
  <sheetFormatPr defaultColWidth="9.109375" defaultRowHeight="15.6" x14ac:dyDescent="0.3"/>
  <cols>
    <col min="1" max="10" width="9.109375" style="11"/>
    <col min="11" max="14" width="13.109375" style="11" bestFit="1" customWidth="1"/>
    <col min="15" max="26" width="9.109375" style="10"/>
    <col min="27" max="27" width="0.5546875" style="10" customWidth="1"/>
    <col min="28" max="28" width="18.5546875" style="10" customWidth="1"/>
    <col min="29" max="16384" width="9.109375" style="10"/>
  </cols>
  <sheetData>
    <row r="1" spans="1:34" ht="19.5" customHeight="1" thickBot="1" x14ac:dyDescent="0.35">
      <c r="A1" s="5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5" t="s">
        <v>38</v>
      </c>
      <c r="H1" s="5" t="s">
        <v>39</v>
      </c>
      <c r="I1" s="5" t="s">
        <v>40</v>
      </c>
      <c r="J1" s="7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8" t="s">
        <v>46</v>
      </c>
      <c r="P1" s="9">
        <f>COUNTA(B1:F1)</f>
        <v>5</v>
      </c>
      <c r="AB1" s="46" t="s">
        <v>47</v>
      </c>
      <c r="AC1" s="48" t="s">
        <v>48</v>
      </c>
      <c r="AD1" s="49"/>
      <c r="AE1" s="48" t="s">
        <v>49</v>
      </c>
      <c r="AF1" s="49"/>
      <c r="AG1" s="48" t="s">
        <v>39</v>
      </c>
      <c r="AH1" s="49"/>
    </row>
    <row r="2" spans="1:34" x14ac:dyDescent="0.3">
      <c r="A2" s="11">
        <v>1</v>
      </c>
      <c r="B2" s="11">
        <v>14</v>
      </c>
      <c r="C2" s="11">
        <v>12.6</v>
      </c>
      <c r="D2" s="11">
        <v>13.2</v>
      </c>
      <c r="E2" s="11">
        <v>13.1</v>
      </c>
      <c r="F2" s="11">
        <v>12.1</v>
      </c>
      <c r="G2" s="11">
        <f t="shared" ref="G2:G26" si="0">AVERAGE(B2:F2)</f>
        <v>13</v>
      </c>
      <c r="H2" s="11">
        <f t="shared" ref="H2:H26" si="1">MAX(B2:F2)-MIN(B2:F2)</f>
        <v>1.9000000000000004</v>
      </c>
      <c r="I2" s="11">
        <f>AVERAGE(Table1[x ̅])</f>
        <v>12.94</v>
      </c>
      <c r="J2" s="11">
        <f>Table1[[#Totals],[R]]</f>
        <v>1.3520000000000001</v>
      </c>
      <c r="K2" s="12">
        <f>Table1[[#This Row],[x ̿ ]]+VLOOKUP($P$1,$AB$3:$AH$26,2)*Table1[[#This Row],[R ̅]]</f>
        <v>13.720103999999999</v>
      </c>
      <c r="L2" s="12">
        <f>Table1[[#This Row],[x ̿ ]]-VLOOKUP($P$1,$AB$3:$AH$26,2)*Table1[[#This Row],[R ̅]]</f>
        <v>12.159896</v>
      </c>
      <c r="M2" s="12">
        <f>VLOOKUP($P$1,$AB$3:$AH$26,7)*Table1[[#This Row],[R ̅]]</f>
        <v>2.8581280000000002</v>
      </c>
      <c r="N2" s="12">
        <f>VLOOKUP($P$1,$AB$3:$AH$26,6)*Table1[[#This Row],[R ̅]]</f>
        <v>0</v>
      </c>
      <c r="O2" s="8" t="s">
        <v>50</v>
      </c>
      <c r="P2" s="9">
        <f>COUNT(A:A)</f>
        <v>25</v>
      </c>
      <c r="AB2" s="47"/>
      <c r="AC2" s="13" t="s">
        <v>51</v>
      </c>
      <c r="AD2" s="13" t="s">
        <v>52</v>
      </c>
      <c r="AE2" s="13" t="s">
        <v>53</v>
      </c>
      <c r="AF2" s="13" t="s">
        <v>54</v>
      </c>
      <c r="AG2" s="13" t="s">
        <v>55</v>
      </c>
      <c r="AH2" s="13" t="s">
        <v>56</v>
      </c>
    </row>
    <row r="3" spans="1:34" x14ac:dyDescent="0.3">
      <c r="A3" s="11">
        <v>2</v>
      </c>
      <c r="B3" s="11">
        <v>13.2</v>
      </c>
      <c r="C3" s="11">
        <v>13.3</v>
      </c>
      <c r="D3" s="11">
        <v>12.7</v>
      </c>
      <c r="E3" s="11">
        <v>13.4</v>
      </c>
      <c r="F3" s="11">
        <v>12.1</v>
      </c>
      <c r="G3" s="11">
        <f t="shared" si="0"/>
        <v>12.940000000000001</v>
      </c>
      <c r="H3" s="11">
        <f t="shared" si="1"/>
        <v>1.3000000000000007</v>
      </c>
      <c r="I3" s="11">
        <f>AVERAGE(Table1[x ̅])</f>
        <v>12.94</v>
      </c>
      <c r="J3" s="11">
        <f>Table1[[#Totals],[R]]</f>
        <v>1.3520000000000001</v>
      </c>
      <c r="K3" s="12">
        <f>Table1[[#This Row],[x ̿ ]]+VLOOKUP($P$1,$AB$3:$AH$26,2)*Table1[[#This Row],[R ̅]]</f>
        <v>13.720103999999999</v>
      </c>
      <c r="L3" s="12">
        <f>Table1[[#This Row],[x ̿ ]]-VLOOKUP($P$1,$AB$3:$AH$26,2)*Table1[[#This Row],[R ̅]]</f>
        <v>12.159896</v>
      </c>
      <c r="M3" s="12">
        <f>VLOOKUP($P$1,$AB$3:$AH$26,7)*Table1[[#This Row],[R ̅]]</f>
        <v>2.8581280000000002</v>
      </c>
      <c r="N3" s="12">
        <f>VLOOKUP($P$1,$AB$3:$AH$26,6)*Table1[[#This Row],[R ̅]]</f>
        <v>0</v>
      </c>
      <c r="AB3" s="13" t="s">
        <v>57</v>
      </c>
      <c r="AC3" s="13">
        <v>1.88</v>
      </c>
      <c r="AD3" s="13">
        <v>2.6589999999999998</v>
      </c>
      <c r="AE3" s="13">
        <v>0</v>
      </c>
      <c r="AF3" s="13">
        <v>3.2669999999999999</v>
      </c>
      <c r="AG3" s="13">
        <v>0</v>
      </c>
      <c r="AH3" s="13">
        <v>3.2669999999999999</v>
      </c>
    </row>
    <row r="4" spans="1:34" x14ac:dyDescent="0.3">
      <c r="A4" s="11">
        <v>3</v>
      </c>
      <c r="B4" s="11">
        <v>13.5</v>
      </c>
      <c r="C4" s="11">
        <v>12.8</v>
      </c>
      <c r="D4" s="11">
        <v>13</v>
      </c>
      <c r="E4" s="11">
        <v>12.8</v>
      </c>
      <c r="F4" s="11">
        <v>12.4</v>
      </c>
      <c r="G4" s="11">
        <f t="shared" si="0"/>
        <v>12.9</v>
      </c>
      <c r="H4" s="11">
        <f t="shared" si="1"/>
        <v>1.0999999999999996</v>
      </c>
      <c r="I4" s="11">
        <f>AVERAGE(Table1[x ̅])</f>
        <v>12.94</v>
      </c>
      <c r="J4" s="11">
        <f>Table1[[#Totals],[R]]</f>
        <v>1.3520000000000001</v>
      </c>
      <c r="K4" s="12">
        <f>Table1[[#This Row],[x ̿ ]]+VLOOKUP($P$1,$AB$3:$AH$26,2)*Table1[[#This Row],[R ̅]]</f>
        <v>13.720103999999999</v>
      </c>
      <c r="L4" s="12">
        <f>Table1[[#This Row],[x ̿ ]]-VLOOKUP($P$1,$AB$3:$AH$26,2)*Table1[[#This Row],[R ̅]]</f>
        <v>12.159896</v>
      </c>
      <c r="M4" s="12">
        <f>VLOOKUP($P$1,$AB$3:$AH$26,7)*Table1[[#This Row],[R ̅]]</f>
        <v>2.8581280000000002</v>
      </c>
      <c r="N4" s="12">
        <f>VLOOKUP($P$1,$AB$3:$AH$26,6)*Table1[[#This Row],[R ̅]]</f>
        <v>0</v>
      </c>
      <c r="AB4" s="13">
        <v>3</v>
      </c>
      <c r="AC4" s="13">
        <v>1.0229999999999999</v>
      </c>
      <c r="AD4" s="13">
        <v>1.954</v>
      </c>
      <c r="AE4" s="13">
        <v>0</v>
      </c>
      <c r="AF4" s="13">
        <v>2.5680000000000001</v>
      </c>
      <c r="AG4" s="13">
        <v>0</v>
      </c>
      <c r="AH4" s="13">
        <v>2.5739999999999998</v>
      </c>
    </row>
    <row r="5" spans="1:34" x14ac:dyDescent="0.3">
      <c r="A5" s="11">
        <v>4</v>
      </c>
      <c r="B5" s="11">
        <v>13.9</v>
      </c>
      <c r="C5" s="11">
        <v>12.4</v>
      </c>
      <c r="D5" s="11">
        <v>13.3</v>
      </c>
      <c r="E5" s="11">
        <v>13.1</v>
      </c>
      <c r="F5" s="11">
        <v>13.2</v>
      </c>
      <c r="G5" s="11">
        <f t="shared" si="0"/>
        <v>13.180000000000001</v>
      </c>
      <c r="H5" s="11">
        <f t="shared" si="1"/>
        <v>1.5</v>
      </c>
      <c r="I5" s="11">
        <f>AVERAGE(Table1[x ̅])</f>
        <v>12.94</v>
      </c>
      <c r="J5" s="11">
        <f>Table1[[#Totals],[R]]</f>
        <v>1.3520000000000001</v>
      </c>
      <c r="K5" s="12">
        <f>Table1[[#This Row],[x ̿ ]]+VLOOKUP($P$1,$AB$3:$AH$26,2)*Table1[[#This Row],[R ̅]]</f>
        <v>13.720103999999999</v>
      </c>
      <c r="L5" s="12">
        <f>Table1[[#This Row],[x ̿ ]]-VLOOKUP($P$1,$AB$3:$AH$26,2)*Table1[[#This Row],[R ̅]]</f>
        <v>12.159896</v>
      </c>
      <c r="M5" s="12">
        <f>VLOOKUP($P$1,$AB$3:$AH$26,7)*Table1[[#This Row],[R ̅]]</f>
        <v>2.8581280000000002</v>
      </c>
      <c r="N5" s="12">
        <f>VLOOKUP($P$1,$AB$3:$AH$26,6)*Table1[[#This Row],[R ̅]]</f>
        <v>0</v>
      </c>
      <c r="AB5" s="13">
        <v>4</v>
      </c>
      <c r="AC5" s="13">
        <v>0.72899999999999998</v>
      </c>
      <c r="AD5" s="13">
        <v>1.6279999999999999</v>
      </c>
      <c r="AE5" s="13">
        <v>0</v>
      </c>
      <c r="AF5" s="13">
        <v>2.266</v>
      </c>
      <c r="AG5" s="13">
        <v>0</v>
      </c>
      <c r="AH5" s="13">
        <v>2.282</v>
      </c>
    </row>
    <row r="6" spans="1:34" x14ac:dyDescent="0.3">
      <c r="A6" s="11">
        <v>5</v>
      </c>
      <c r="B6" s="11">
        <v>13</v>
      </c>
      <c r="C6" s="11">
        <v>13</v>
      </c>
      <c r="D6" s="11">
        <v>12.1</v>
      </c>
      <c r="E6" s="11">
        <v>12.2</v>
      </c>
      <c r="F6" s="11">
        <v>13.3</v>
      </c>
      <c r="G6" s="11">
        <f t="shared" si="0"/>
        <v>12.719999999999999</v>
      </c>
      <c r="H6" s="11">
        <f t="shared" si="1"/>
        <v>1.2000000000000011</v>
      </c>
      <c r="I6" s="11">
        <f>AVERAGE(Table1[x ̅])</f>
        <v>12.94</v>
      </c>
      <c r="J6" s="11">
        <f>Table1[[#Totals],[R]]</f>
        <v>1.3520000000000001</v>
      </c>
      <c r="K6" s="12">
        <f>Table1[[#This Row],[x ̿ ]]+VLOOKUP($P$1,$AB$3:$AH$26,2)*Table1[[#This Row],[R ̅]]</f>
        <v>13.720103999999999</v>
      </c>
      <c r="L6" s="12">
        <f>Table1[[#This Row],[x ̿ ]]-VLOOKUP($P$1,$AB$3:$AH$26,2)*Table1[[#This Row],[R ̅]]</f>
        <v>12.159896</v>
      </c>
      <c r="M6" s="12">
        <f>VLOOKUP($P$1,$AB$3:$AH$26,7)*Table1[[#This Row],[R ̅]]</f>
        <v>2.8581280000000002</v>
      </c>
      <c r="N6" s="12">
        <f>VLOOKUP($P$1,$AB$3:$AH$26,6)*Table1[[#This Row],[R ̅]]</f>
        <v>0</v>
      </c>
      <c r="AB6" s="13">
        <v>5</v>
      </c>
      <c r="AC6" s="13">
        <v>0.57699999999999996</v>
      </c>
      <c r="AD6" s="13">
        <v>1.427</v>
      </c>
      <c r="AE6" s="13">
        <v>0</v>
      </c>
      <c r="AF6" s="13">
        <v>2.089</v>
      </c>
      <c r="AG6" s="13">
        <v>0</v>
      </c>
      <c r="AH6" s="13">
        <v>2.1139999999999999</v>
      </c>
    </row>
    <row r="7" spans="1:34" x14ac:dyDescent="0.3">
      <c r="A7" s="11">
        <v>6</v>
      </c>
      <c r="B7" s="11">
        <v>13.7</v>
      </c>
      <c r="C7" s="11">
        <v>12</v>
      </c>
      <c r="D7" s="11">
        <v>12.5</v>
      </c>
      <c r="E7" s="11">
        <v>12.4</v>
      </c>
      <c r="F7" s="11">
        <v>12.4</v>
      </c>
      <c r="G7" s="11">
        <f t="shared" si="0"/>
        <v>12.6</v>
      </c>
      <c r="H7" s="11">
        <f t="shared" si="1"/>
        <v>1.6999999999999993</v>
      </c>
      <c r="I7" s="11">
        <f>AVERAGE(Table1[x ̅])</f>
        <v>12.94</v>
      </c>
      <c r="J7" s="11">
        <f>Table1[[#Totals],[R]]</f>
        <v>1.3520000000000001</v>
      </c>
      <c r="K7" s="12">
        <f>Table1[[#This Row],[x ̿ ]]+VLOOKUP($P$1,$AB$3:$AH$26,2)*Table1[[#This Row],[R ̅]]</f>
        <v>13.720103999999999</v>
      </c>
      <c r="L7" s="12">
        <f>Table1[[#This Row],[x ̿ ]]-VLOOKUP($P$1,$AB$3:$AH$26,2)*Table1[[#This Row],[R ̅]]</f>
        <v>12.159896</v>
      </c>
      <c r="M7" s="12">
        <f>VLOOKUP($P$1,$AB$3:$AH$26,7)*Table1[[#This Row],[R ̅]]</f>
        <v>2.8581280000000002</v>
      </c>
      <c r="N7" s="12">
        <f>VLOOKUP($P$1,$AB$3:$AH$26,6)*Table1[[#This Row],[R ̅]]</f>
        <v>0</v>
      </c>
      <c r="AB7" s="13">
        <v>6</v>
      </c>
      <c r="AC7" s="13">
        <v>0.48299999999999998</v>
      </c>
      <c r="AD7" s="13">
        <v>1.2869999999999999</v>
      </c>
      <c r="AE7" s="13">
        <v>0.03</v>
      </c>
      <c r="AF7" s="13">
        <v>1.97</v>
      </c>
      <c r="AG7" s="13">
        <v>0</v>
      </c>
      <c r="AH7" s="13">
        <v>2.004</v>
      </c>
    </row>
    <row r="8" spans="1:34" x14ac:dyDescent="0.3">
      <c r="A8" s="11">
        <v>7</v>
      </c>
      <c r="B8" s="11">
        <v>13.9</v>
      </c>
      <c r="C8" s="11">
        <v>12.1</v>
      </c>
      <c r="D8" s="11">
        <v>12.7</v>
      </c>
      <c r="E8" s="11">
        <v>13.4</v>
      </c>
      <c r="F8" s="11">
        <v>13</v>
      </c>
      <c r="G8" s="11">
        <f t="shared" si="0"/>
        <v>13.02</v>
      </c>
      <c r="H8" s="11">
        <f t="shared" si="1"/>
        <v>1.8000000000000007</v>
      </c>
      <c r="I8" s="11">
        <f>AVERAGE(Table1[x ̅])</f>
        <v>12.94</v>
      </c>
      <c r="J8" s="11">
        <f>Table1[[#Totals],[R]]</f>
        <v>1.3520000000000001</v>
      </c>
      <c r="K8" s="12">
        <f>Table1[[#This Row],[x ̿ ]]+VLOOKUP($P$1,$AB$3:$AH$26,2)*Table1[[#This Row],[R ̅]]</f>
        <v>13.720103999999999</v>
      </c>
      <c r="L8" s="12">
        <f>Table1[[#This Row],[x ̿ ]]-VLOOKUP($P$1,$AB$3:$AH$26,2)*Table1[[#This Row],[R ̅]]</f>
        <v>12.159896</v>
      </c>
      <c r="M8" s="12">
        <f>VLOOKUP($P$1,$AB$3:$AH$26,7)*Table1[[#This Row],[R ̅]]</f>
        <v>2.8581280000000002</v>
      </c>
      <c r="N8" s="12">
        <f>VLOOKUP($P$1,$AB$3:$AH$26,6)*Table1[[#This Row],[R ̅]]</f>
        <v>0</v>
      </c>
      <c r="AB8" s="13">
        <v>7</v>
      </c>
      <c r="AC8" s="13">
        <v>0.41899999999999998</v>
      </c>
      <c r="AD8" s="13">
        <v>1.1819999999999999</v>
      </c>
      <c r="AE8" s="13">
        <v>0.11799999999999999</v>
      </c>
      <c r="AF8" s="13">
        <v>1.8819999999999999</v>
      </c>
      <c r="AG8" s="13">
        <v>7.5999999999999998E-2</v>
      </c>
      <c r="AH8" s="13">
        <v>1.9239999999999999</v>
      </c>
    </row>
    <row r="9" spans="1:34" x14ac:dyDescent="0.3">
      <c r="A9" s="11">
        <v>8</v>
      </c>
      <c r="B9" s="11">
        <v>13.4</v>
      </c>
      <c r="C9" s="11">
        <v>13.6</v>
      </c>
      <c r="D9" s="11">
        <v>13</v>
      </c>
      <c r="E9" s="11">
        <v>12.4</v>
      </c>
      <c r="F9" s="11">
        <v>13.5</v>
      </c>
      <c r="G9" s="11">
        <f t="shared" si="0"/>
        <v>13.180000000000001</v>
      </c>
      <c r="H9" s="11">
        <f t="shared" si="1"/>
        <v>1.1999999999999993</v>
      </c>
      <c r="I9" s="11">
        <f>AVERAGE(Table1[x ̅])</f>
        <v>12.94</v>
      </c>
      <c r="J9" s="11">
        <f>Table1[[#Totals],[R]]</f>
        <v>1.3520000000000001</v>
      </c>
      <c r="K9" s="12">
        <f>Table1[[#This Row],[x ̿ ]]+VLOOKUP($P$1,$AB$3:$AH$26,2)*Table1[[#This Row],[R ̅]]</f>
        <v>13.720103999999999</v>
      </c>
      <c r="L9" s="12">
        <f>Table1[[#This Row],[x ̿ ]]-VLOOKUP($P$1,$AB$3:$AH$26,2)*Table1[[#This Row],[R ̅]]</f>
        <v>12.159896</v>
      </c>
      <c r="M9" s="12">
        <f>VLOOKUP($P$1,$AB$3:$AH$26,7)*Table1[[#This Row],[R ̅]]</f>
        <v>2.8581280000000002</v>
      </c>
      <c r="N9" s="12">
        <f>VLOOKUP($P$1,$AB$3:$AH$26,6)*Table1[[#This Row],[R ̅]]</f>
        <v>0</v>
      </c>
      <c r="AB9" s="13">
        <v>8</v>
      </c>
      <c r="AC9" s="13">
        <v>0.373</v>
      </c>
      <c r="AD9" s="13">
        <v>1.099</v>
      </c>
      <c r="AE9" s="13">
        <v>0.185</v>
      </c>
      <c r="AF9" s="13">
        <v>1.8149999999999999</v>
      </c>
      <c r="AG9" s="13">
        <v>0.13600000000000001</v>
      </c>
      <c r="AH9" s="13">
        <v>1.8640000000000001</v>
      </c>
    </row>
    <row r="10" spans="1:34" x14ac:dyDescent="0.3">
      <c r="A10" s="11">
        <v>9</v>
      </c>
      <c r="B10" s="11">
        <v>14.4</v>
      </c>
      <c r="C10" s="11">
        <v>12.4</v>
      </c>
      <c r="D10" s="11">
        <v>12.2</v>
      </c>
      <c r="E10" s="11">
        <v>12.4</v>
      </c>
      <c r="F10" s="11">
        <v>12.5</v>
      </c>
      <c r="G10" s="11">
        <f t="shared" si="0"/>
        <v>12.78</v>
      </c>
      <c r="H10" s="11">
        <f t="shared" si="1"/>
        <v>2.2000000000000011</v>
      </c>
      <c r="I10" s="11">
        <f>AVERAGE(Table1[x ̅])</f>
        <v>12.94</v>
      </c>
      <c r="J10" s="11">
        <f>Table1[[#Totals],[R]]</f>
        <v>1.3520000000000001</v>
      </c>
      <c r="K10" s="12">
        <f>Table1[[#This Row],[x ̿ ]]+VLOOKUP($P$1,$AB$3:$AH$26,2)*Table1[[#This Row],[R ̅]]</f>
        <v>13.720103999999999</v>
      </c>
      <c r="L10" s="12">
        <f>Table1[[#This Row],[x ̿ ]]-VLOOKUP($P$1,$AB$3:$AH$26,2)*Table1[[#This Row],[R ̅]]</f>
        <v>12.159896</v>
      </c>
      <c r="M10" s="12">
        <f>VLOOKUP($P$1,$AB$3:$AH$26,7)*Table1[[#This Row],[R ̅]]</f>
        <v>2.8581280000000002</v>
      </c>
      <c r="N10" s="12">
        <f>VLOOKUP($P$1,$AB$3:$AH$26,6)*Table1[[#This Row],[R ̅]]</f>
        <v>0</v>
      </c>
      <c r="AB10" s="13">
        <v>9</v>
      </c>
      <c r="AC10" s="13">
        <v>0.33700000000000002</v>
      </c>
      <c r="AD10" s="13">
        <v>1.032</v>
      </c>
      <c r="AE10" s="13">
        <v>0.23899999999999999</v>
      </c>
      <c r="AF10" s="13">
        <v>1.7609999999999999</v>
      </c>
      <c r="AG10" s="13">
        <v>0.184</v>
      </c>
      <c r="AH10" s="13">
        <v>1.8160000000000001</v>
      </c>
    </row>
    <row r="11" spans="1:34" x14ac:dyDescent="0.3">
      <c r="A11" s="11">
        <v>10</v>
      </c>
      <c r="B11" s="11">
        <v>13.3</v>
      </c>
      <c r="C11" s="11">
        <v>12.4</v>
      </c>
      <c r="D11" s="11">
        <v>12.6</v>
      </c>
      <c r="E11" s="11">
        <v>12.9</v>
      </c>
      <c r="F11" s="11">
        <v>12.8</v>
      </c>
      <c r="G11" s="11">
        <f t="shared" si="0"/>
        <v>12.8</v>
      </c>
      <c r="H11" s="11">
        <f t="shared" si="1"/>
        <v>0.90000000000000036</v>
      </c>
      <c r="I11" s="11">
        <f>AVERAGE(Table1[x ̅])</f>
        <v>12.94</v>
      </c>
      <c r="J11" s="11">
        <f>Table1[[#Totals],[R]]</f>
        <v>1.3520000000000001</v>
      </c>
      <c r="K11" s="12">
        <f>Table1[[#This Row],[x ̿ ]]+VLOOKUP($P$1,$AB$3:$AH$26,2)*Table1[[#This Row],[R ̅]]</f>
        <v>13.720103999999999</v>
      </c>
      <c r="L11" s="12">
        <f>Table1[[#This Row],[x ̿ ]]-VLOOKUP($P$1,$AB$3:$AH$26,2)*Table1[[#This Row],[R ̅]]</f>
        <v>12.159896</v>
      </c>
      <c r="M11" s="12">
        <f>VLOOKUP($P$1,$AB$3:$AH$26,7)*Table1[[#This Row],[R ̅]]</f>
        <v>2.8581280000000002</v>
      </c>
      <c r="N11" s="12">
        <f>VLOOKUP($P$1,$AB$3:$AH$26,6)*Table1[[#This Row],[R ̅]]</f>
        <v>0</v>
      </c>
      <c r="AB11" s="13">
        <v>10</v>
      </c>
      <c r="AC11" s="13">
        <v>0.308</v>
      </c>
      <c r="AD11" s="13">
        <v>0.97499999999999998</v>
      </c>
      <c r="AE11" s="13">
        <v>0.28399999999999997</v>
      </c>
      <c r="AF11" s="13">
        <v>1.716</v>
      </c>
      <c r="AG11" s="13">
        <v>0.223</v>
      </c>
      <c r="AH11" s="13">
        <v>1.7769999999999999</v>
      </c>
    </row>
    <row r="12" spans="1:34" x14ac:dyDescent="0.3">
      <c r="A12" s="11">
        <v>11</v>
      </c>
      <c r="B12" s="11">
        <v>13.3</v>
      </c>
      <c r="C12" s="11">
        <v>12.8</v>
      </c>
      <c r="D12" s="11">
        <v>13</v>
      </c>
      <c r="E12" s="11">
        <v>13</v>
      </c>
      <c r="F12" s="11">
        <v>13.1</v>
      </c>
      <c r="G12" s="11">
        <f t="shared" si="0"/>
        <v>13.040000000000001</v>
      </c>
      <c r="H12" s="11">
        <f t="shared" si="1"/>
        <v>0.5</v>
      </c>
      <c r="I12" s="11">
        <f>AVERAGE(Table1[x ̅])</f>
        <v>12.94</v>
      </c>
      <c r="J12" s="11">
        <f>Table1[[#Totals],[R]]</f>
        <v>1.3520000000000001</v>
      </c>
      <c r="K12" s="12">
        <f>Table1[[#This Row],[x ̿ ]]+VLOOKUP($P$1,$AB$3:$AH$26,2)*Table1[[#This Row],[R ̅]]</f>
        <v>13.720103999999999</v>
      </c>
      <c r="L12" s="12">
        <f>Table1[[#This Row],[x ̿ ]]-VLOOKUP($P$1,$AB$3:$AH$26,2)*Table1[[#This Row],[R ̅]]</f>
        <v>12.159896</v>
      </c>
      <c r="M12" s="12">
        <f>VLOOKUP($P$1,$AB$3:$AH$26,7)*Table1[[#This Row],[R ̅]]</f>
        <v>2.8581280000000002</v>
      </c>
      <c r="N12" s="12">
        <f>VLOOKUP($P$1,$AB$3:$AH$26,6)*Table1[[#This Row],[R ̅]]</f>
        <v>0</v>
      </c>
      <c r="AB12" s="13">
        <v>11</v>
      </c>
      <c r="AC12" s="13">
        <v>0.28499999999999998</v>
      </c>
      <c r="AD12" s="13">
        <v>0.92700000000000005</v>
      </c>
      <c r="AE12" s="13">
        <v>0.32100000000000001</v>
      </c>
      <c r="AF12" s="13">
        <v>1.679</v>
      </c>
      <c r="AG12" s="13">
        <v>0.25600000000000001</v>
      </c>
      <c r="AH12" s="13">
        <v>1.744</v>
      </c>
    </row>
    <row r="13" spans="1:34" x14ac:dyDescent="0.3">
      <c r="A13" s="11">
        <v>12</v>
      </c>
      <c r="B13" s="11">
        <v>13.6</v>
      </c>
      <c r="C13" s="11">
        <v>12.5</v>
      </c>
      <c r="D13" s="11">
        <v>13.3</v>
      </c>
      <c r="E13" s="11">
        <v>13.5</v>
      </c>
      <c r="F13" s="11">
        <v>12.8</v>
      </c>
      <c r="G13" s="11">
        <f t="shared" si="0"/>
        <v>13.14</v>
      </c>
      <c r="H13" s="11">
        <f t="shared" si="1"/>
        <v>1.0999999999999996</v>
      </c>
      <c r="I13" s="11">
        <f>AVERAGE(Table1[x ̅])</f>
        <v>12.94</v>
      </c>
      <c r="J13" s="11">
        <f>Table1[[#Totals],[R]]</f>
        <v>1.3520000000000001</v>
      </c>
      <c r="K13" s="12">
        <f>Table1[[#This Row],[x ̿ ]]+VLOOKUP($P$1,$AB$3:$AH$26,2)*Table1[[#This Row],[R ̅]]</f>
        <v>13.720103999999999</v>
      </c>
      <c r="L13" s="12">
        <f>Table1[[#This Row],[x ̿ ]]-VLOOKUP($P$1,$AB$3:$AH$26,2)*Table1[[#This Row],[R ̅]]</f>
        <v>12.159896</v>
      </c>
      <c r="M13" s="12">
        <f>VLOOKUP($P$1,$AB$3:$AH$26,7)*Table1[[#This Row],[R ̅]]</f>
        <v>2.8581280000000002</v>
      </c>
      <c r="N13" s="12">
        <f>VLOOKUP($P$1,$AB$3:$AH$26,6)*Table1[[#This Row],[R ̅]]</f>
        <v>0</v>
      </c>
      <c r="AB13" s="13">
        <v>12</v>
      </c>
      <c r="AC13" s="13">
        <v>0.26600000000000001</v>
      </c>
      <c r="AD13" s="13">
        <v>0.88600000000000001</v>
      </c>
      <c r="AE13" s="13">
        <v>0.35399999999999998</v>
      </c>
      <c r="AF13" s="13">
        <v>1.6459999999999999</v>
      </c>
      <c r="AG13" s="13">
        <v>0.28299999999999997</v>
      </c>
      <c r="AH13" s="13">
        <v>1.7170000000000001</v>
      </c>
    </row>
    <row r="14" spans="1:34" x14ac:dyDescent="0.3">
      <c r="A14" s="11">
        <v>13</v>
      </c>
      <c r="B14" s="11">
        <v>13.4</v>
      </c>
      <c r="C14" s="11">
        <v>13.3</v>
      </c>
      <c r="D14" s="11">
        <v>12</v>
      </c>
      <c r="E14" s="11">
        <v>13</v>
      </c>
      <c r="F14" s="11">
        <v>13.1</v>
      </c>
      <c r="G14" s="11">
        <f t="shared" si="0"/>
        <v>12.959999999999999</v>
      </c>
      <c r="H14" s="11">
        <f t="shared" si="1"/>
        <v>1.4000000000000004</v>
      </c>
      <c r="I14" s="11">
        <f>AVERAGE(Table1[x ̅])</f>
        <v>12.94</v>
      </c>
      <c r="J14" s="11">
        <f>Table1[[#Totals],[R]]</f>
        <v>1.3520000000000001</v>
      </c>
      <c r="K14" s="12">
        <f>Table1[[#This Row],[x ̿ ]]+VLOOKUP($P$1,$AB$3:$AH$26,2)*Table1[[#This Row],[R ̅]]</f>
        <v>13.720103999999999</v>
      </c>
      <c r="L14" s="12">
        <f>Table1[[#This Row],[x ̿ ]]-VLOOKUP($P$1,$AB$3:$AH$26,2)*Table1[[#This Row],[R ̅]]</f>
        <v>12.159896</v>
      </c>
      <c r="M14" s="12">
        <f>VLOOKUP($P$1,$AB$3:$AH$26,7)*Table1[[#This Row],[R ̅]]</f>
        <v>2.8581280000000002</v>
      </c>
      <c r="N14" s="12">
        <f>VLOOKUP($P$1,$AB$3:$AH$26,6)*Table1[[#This Row],[R ̅]]</f>
        <v>0</v>
      </c>
      <c r="AB14" s="13">
        <v>13</v>
      </c>
      <c r="AC14" s="13">
        <v>0.249</v>
      </c>
      <c r="AD14" s="13">
        <v>0.85</v>
      </c>
      <c r="AE14" s="13">
        <v>0.38200000000000001</v>
      </c>
      <c r="AF14" s="13">
        <v>1.6180000000000001</v>
      </c>
      <c r="AG14" s="13">
        <v>0.307</v>
      </c>
      <c r="AH14" s="13">
        <v>1.6930000000000001</v>
      </c>
    </row>
    <row r="15" spans="1:34" x14ac:dyDescent="0.3">
      <c r="A15" s="11">
        <v>14</v>
      </c>
      <c r="B15" s="11">
        <v>13.9</v>
      </c>
      <c r="C15" s="11">
        <v>13.1</v>
      </c>
      <c r="D15" s="11">
        <v>13.5</v>
      </c>
      <c r="E15" s="11">
        <v>12.6</v>
      </c>
      <c r="F15" s="11">
        <v>12.8</v>
      </c>
      <c r="G15" s="11">
        <f t="shared" si="0"/>
        <v>13.180000000000001</v>
      </c>
      <c r="H15" s="11">
        <f t="shared" si="1"/>
        <v>1.3000000000000007</v>
      </c>
      <c r="I15" s="11">
        <f>AVERAGE(Table1[x ̅])</f>
        <v>12.94</v>
      </c>
      <c r="J15" s="11">
        <f>Table1[[#Totals],[R]]</f>
        <v>1.3520000000000001</v>
      </c>
      <c r="K15" s="12">
        <f>Table1[[#This Row],[x ̿ ]]+VLOOKUP($P$1,$AB$3:$AH$26,2)*Table1[[#This Row],[R ̅]]</f>
        <v>13.720103999999999</v>
      </c>
      <c r="L15" s="12">
        <f>Table1[[#This Row],[x ̿ ]]-VLOOKUP($P$1,$AB$3:$AH$26,2)*Table1[[#This Row],[R ̅]]</f>
        <v>12.159896</v>
      </c>
      <c r="M15" s="12">
        <f>VLOOKUP($P$1,$AB$3:$AH$26,7)*Table1[[#This Row],[R ̅]]</f>
        <v>2.8581280000000002</v>
      </c>
      <c r="N15" s="12">
        <f>VLOOKUP($P$1,$AB$3:$AH$26,6)*Table1[[#This Row],[R ̅]]</f>
        <v>0</v>
      </c>
      <c r="AB15" s="13">
        <v>14</v>
      </c>
      <c r="AC15" s="13">
        <v>0.23499999999999999</v>
      </c>
      <c r="AD15" s="13">
        <v>0.81699999999999995</v>
      </c>
      <c r="AE15" s="13">
        <v>0.40600000000000003</v>
      </c>
      <c r="AF15" s="13">
        <v>1.5940000000000001</v>
      </c>
      <c r="AG15" s="13">
        <v>0.32800000000000001</v>
      </c>
      <c r="AH15" s="13">
        <v>1.6719999999999999</v>
      </c>
    </row>
    <row r="16" spans="1:34" x14ac:dyDescent="0.3">
      <c r="A16" s="11">
        <v>15</v>
      </c>
      <c r="B16" s="11">
        <v>14.2</v>
      </c>
      <c r="C16" s="11">
        <v>12.7</v>
      </c>
      <c r="D16" s="11">
        <v>12.9</v>
      </c>
      <c r="E16" s="11">
        <v>12.9</v>
      </c>
      <c r="F16" s="11">
        <v>12.5</v>
      </c>
      <c r="G16" s="11">
        <f t="shared" si="0"/>
        <v>13.039999999999997</v>
      </c>
      <c r="H16" s="11">
        <f t="shared" si="1"/>
        <v>1.6999999999999993</v>
      </c>
      <c r="I16" s="11">
        <f>AVERAGE(Table1[x ̅])</f>
        <v>12.94</v>
      </c>
      <c r="J16" s="11">
        <f>Table1[[#Totals],[R]]</f>
        <v>1.3520000000000001</v>
      </c>
      <c r="K16" s="12">
        <f>Table1[[#This Row],[x ̿ ]]+VLOOKUP($P$1,$AB$3:$AH$26,2)*Table1[[#This Row],[R ̅]]</f>
        <v>13.720103999999999</v>
      </c>
      <c r="L16" s="12">
        <f>Table1[[#This Row],[x ̿ ]]-VLOOKUP($P$1,$AB$3:$AH$26,2)*Table1[[#This Row],[R ̅]]</f>
        <v>12.159896</v>
      </c>
      <c r="M16" s="12">
        <f>VLOOKUP($P$1,$AB$3:$AH$26,7)*Table1[[#This Row],[R ̅]]</f>
        <v>2.8581280000000002</v>
      </c>
      <c r="N16" s="12">
        <f>VLOOKUP($P$1,$AB$3:$AH$26,6)*Table1[[#This Row],[R ̅]]</f>
        <v>0</v>
      </c>
      <c r="AB16" s="13">
        <v>15</v>
      </c>
      <c r="AC16" s="13">
        <v>0.223</v>
      </c>
      <c r="AD16" s="13">
        <v>0.78900000000000003</v>
      </c>
      <c r="AE16" s="13">
        <v>0.42799999999999999</v>
      </c>
      <c r="AF16" s="13">
        <v>1.5720000000000001</v>
      </c>
      <c r="AG16" s="13">
        <v>0.34699999999999998</v>
      </c>
      <c r="AH16" s="13">
        <v>1.653</v>
      </c>
    </row>
    <row r="17" spans="1:34" x14ac:dyDescent="0.3">
      <c r="A17" s="11">
        <v>16</v>
      </c>
      <c r="B17" s="11">
        <v>13.6</v>
      </c>
      <c r="C17" s="11">
        <v>12.6</v>
      </c>
      <c r="D17" s="11">
        <v>12.4</v>
      </c>
      <c r="E17" s="11">
        <v>12.5</v>
      </c>
      <c r="F17" s="11">
        <v>12.2</v>
      </c>
      <c r="G17" s="11">
        <f t="shared" si="0"/>
        <v>12.66</v>
      </c>
      <c r="H17" s="11">
        <f t="shared" si="1"/>
        <v>1.4000000000000004</v>
      </c>
      <c r="I17" s="11">
        <f>AVERAGE(Table1[x ̅])</f>
        <v>12.94</v>
      </c>
      <c r="J17" s="11">
        <f>Table1[[#Totals],[R]]</f>
        <v>1.3520000000000001</v>
      </c>
      <c r="K17" s="12">
        <f>Table1[[#This Row],[x ̿ ]]+VLOOKUP($P$1,$AB$3:$AH$26,2)*Table1[[#This Row],[R ̅]]</f>
        <v>13.720103999999999</v>
      </c>
      <c r="L17" s="12">
        <f>Table1[[#This Row],[x ̿ ]]-VLOOKUP($P$1,$AB$3:$AH$26,2)*Table1[[#This Row],[R ̅]]</f>
        <v>12.159896</v>
      </c>
      <c r="M17" s="12">
        <f>VLOOKUP($P$1,$AB$3:$AH$26,7)*Table1[[#This Row],[R ̅]]</f>
        <v>2.8581280000000002</v>
      </c>
      <c r="N17" s="12">
        <f>VLOOKUP($P$1,$AB$3:$AH$26,6)*Table1[[#This Row],[R ̅]]</f>
        <v>0</v>
      </c>
      <c r="AB17" s="13">
        <v>16</v>
      </c>
      <c r="AC17" s="13">
        <v>0.21199999999999999</v>
      </c>
      <c r="AD17" s="13">
        <v>0.76300000000000001</v>
      </c>
      <c r="AE17" s="13">
        <v>0.44800000000000001</v>
      </c>
      <c r="AF17" s="13">
        <v>1.552</v>
      </c>
      <c r="AG17" s="13">
        <v>0.36299999999999999</v>
      </c>
      <c r="AH17" s="13">
        <v>1.637</v>
      </c>
    </row>
    <row r="18" spans="1:34" x14ac:dyDescent="0.3">
      <c r="A18" s="11">
        <v>17</v>
      </c>
      <c r="B18" s="11">
        <v>14</v>
      </c>
      <c r="C18" s="11">
        <v>13.2</v>
      </c>
      <c r="D18" s="11">
        <v>12.4</v>
      </c>
      <c r="E18" s="11">
        <v>13</v>
      </c>
      <c r="F18" s="11">
        <v>13</v>
      </c>
      <c r="G18" s="11">
        <f t="shared" si="0"/>
        <v>13.12</v>
      </c>
      <c r="H18" s="11">
        <f t="shared" si="1"/>
        <v>1.5999999999999996</v>
      </c>
      <c r="I18" s="11">
        <f>AVERAGE(Table1[x ̅])</f>
        <v>12.94</v>
      </c>
      <c r="J18" s="11">
        <f>Table1[[#Totals],[R]]</f>
        <v>1.3520000000000001</v>
      </c>
      <c r="K18" s="12">
        <f>Table1[[#This Row],[x ̿ ]]+VLOOKUP($P$1,$AB$3:$AH$26,2)*Table1[[#This Row],[R ̅]]</f>
        <v>13.720103999999999</v>
      </c>
      <c r="L18" s="12">
        <f>Table1[[#This Row],[x ̿ ]]-VLOOKUP($P$1,$AB$3:$AH$26,2)*Table1[[#This Row],[R ̅]]</f>
        <v>12.159896</v>
      </c>
      <c r="M18" s="12">
        <f>VLOOKUP($P$1,$AB$3:$AH$26,7)*Table1[[#This Row],[R ̅]]</f>
        <v>2.8581280000000002</v>
      </c>
      <c r="N18" s="12">
        <f>VLOOKUP($P$1,$AB$3:$AH$26,6)*Table1[[#This Row],[R ̅]]</f>
        <v>0</v>
      </c>
      <c r="AB18" s="13">
        <v>17</v>
      </c>
      <c r="AC18" s="13">
        <v>0.20300000000000001</v>
      </c>
      <c r="AD18" s="13">
        <v>0.73899999999999999</v>
      </c>
      <c r="AE18" s="13">
        <v>0.46600000000000003</v>
      </c>
      <c r="AF18" s="13">
        <v>1.534</v>
      </c>
      <c r="AG18" s="13">
        <v>0.378</v>
      </c>
      <c r="AH18" s="13">
        <v>1.6220000000000001</v>
      </c>
    </row>
    <row r="19" spans="1:34" x14ac:dyDescent="0.3">
      <c r="A19" s="11">
        <v>18</v>
      </c>
      <c r="B19" s="11">
        <v>13.1</v>
      </c>
      <c r="C19" s="11">
        <v>12.9</v>
      </c>
      <c r="D19" s="11">
        <v>13.5</v>
      </c>
      <c r="E19" s="11">
        <v>12.3</v>
      </c>
      <c r="F19" s="11">
        <v>12.8</v>
      </c>
      <c r="G19" s="11">
        <f t="shared" si="0"/>
        <v>12.919999999999998</v>
      </c>
      <c r="H19" s="11">
        <f t="shared" si="1"/>
        <v>1.1999999999999993</v>
      </c>
      <c r="I19" s="11">
        <f>AVERAGE(Table1[x ̅])</f>
        <v>12.94</v>
      </c>
      <c r="J19" s="11">
        <f>Table1[[#Totals],[R]]</f>
        <v>1.3520000000000001</v>
      </c>
      <c r="K19" s="12">
        <f>Table1[[#This Row],[x ̿ ]]+VLOOKUP($P$1,$AB$3:$AH$26,2)*Table1[[#This Row],[R ̅]]</f>
        <v>13.720103999999999</v>
      </c>
      <c r="L19" s="12">
        <f>Table1[[#This Row],[x ̿ ]]-VLOOKUP($P$1,$AB$3:$AH$26,2)*Table1[[#This Row],[R ̅]]</f>
        <v>12.159896</v>
      </c>
      <c r="M19" s="12">
        <f>VLOOKUP($P$1,$AB$3:$AH$26,7)*Table1[[#This Row],[R ̅]]</f>
        <v>2.8581280000000002</v>
      </c>
      <c r="N19" s="12">
        <f>VLOOKUP($P$1,$AB$3:$AH$26,6)*Table1[[#This Row],[R ̅]]</f>
        <v>0</v>
      </c>
      <c r="AB19" s="13">
        <v>18</v>
      </c>
      <c r="AC19" s="13">
        <v>0.19400000000000001</v>
      </c>
      <c r="AD19" s="13">
        <v>0.71799999999999997</v>
      </c>
      <c r="AE19" s="13">
        <v>0.48199999999999998</v>
      </c>
      <c r="AF19" s="13">
        <v>1.518</v>
      </c>
      <c r="AG19" s="13">
        <v>0.39100000000000001</v>
      </c>
      <c r="AH19" s="13">
        <v>1.6080000000000001</v>
      </c>
    </row>
    <row r="20" spans="1:34" x14ac:dyDescent="0.3">
      <c r="A20" s="11">
        <v>19</v>
      </c>
      <c r="B20" s="11">
        <v>14.6</v>
      </c>
      <c r="C20" s="11">
        <v>13.7</v>
      </c>
      <c r="D20" s="11">
        <v>13.4</v>
      </c>
      <c r="E20" s="11">
        <v>12.2</v>
      </c>
      <c r="F20" s="11">
        <v>12.5</v>
      </c>
      <c r="G20" s="11">
        <f t="shared" si="0"/>
        <v>13.279999999999998</v>
      </c>
      <c r="H20" s="11">
        <f t="shared" si="1"/>
        <v>2.4000000000000004</v>
      </c>
      <c r="I20" s="11">
        <f>AVERAGE(Table1[x ̅])</f>
        <v>12.94</v>
      </c>
      <c r="J20" s="11">
        <f>Table1[[#Totals],[R]]</f>
        <v>1.3520000000000001</v>
      </c>
      <c r="K20" s="12">
        <f>Table1[[#This Row],[x ̿ ]]+VLOOKUP($P$1,$AB$3:$AH$26,2)*Table1[[#This Row],[R ̅]]</f>
        <v>13.720103999999999</v>
      </c>
      <c r="L20" s="12">
        <f>Table1[[#This Row],[x ̿ ]]-VLOOKUP($P$1,$AB$3:$AH$26,2)*Table1[[#This Row],[R ̅]]</f>
        <v>12.159896</v>
      </c>
      <c r="M20" s="12">
        <f>VLOOKUP($P$1,$AB$3:$AH$26,7)*Table1[[#This Row],[R ̅]]</f>
        <v>2.8581280000000002</v>
      </c>
      <c r="N20" s="12">
        <f>VLOOKUP($P$1,$AB$3:$AH$26,6)*Table1[[#This Row],[R ̅]]</f>
        <v>0</v>
      </c>
      <c r="AB20" s="13">
        <v>19</v>
      </c>
      <c r="AC20" s="13">
        <v>0.187</v>
      </c>
      <c r="AD20" s="13">
        <v>0.69799999999999995</v>
      </c>
      <c r="AE20" s="13">
        <v>0.497</v>
      </c>
      <c r="AF20" s="13">
        <v>1.5029999999999999</v>
      </c>
      <c r="AG20" s="13">
        <v>0.40300000000000002</v>
      </c>
      <c r="AH20" s="13">
        <v>1.597</v>
      </c>
    </row>
    <row r="21" spans="1:34" x14ac:dyDescent="0.3">
      <c r="A21" s="11">
        <v>20</v>
      </c>
      <c r="B21" s="11">
        <v>13.9</v>
      </c>
      <c r="C21" s="11">
        <v>13</v>
      </c>
      <c r="D21" s="11">
        <v>13</v>
      </c>
      <c r="E21" s="11">
        <v>13.2</v>
      </c>
      <c r="F21" s="11">
        <v>12.6</v>
      </c>
      <c r="G21" s="11">
        <f t="shared" si="0"/>
        <v>13.139999999999997</v>
      </c>
      <c r="H21" s="11">
        <f t="shared" si="1"/>
        <v>1.3000000000000007</v>
      </c>
      <c r="I21" s="11">
        <f>AVERAGE(Table1[x ̅])</f>
        <v>12.94</v>
      </c>
      <c r="J21" s="11">
        <f>Table1[[#Totals],[R]]</f>
        <v>1.3520000000000001</v>
      </c>
      <c r="K21" s="12">
        <f>Table1[[#This Row],[x ̿ ]]+VLOOKUP($P$1,$AB$3:$AH$26,2)*Table1[[#This Row],[R ̅]]</f>
        <v>13.720103999999999</v>
      </c>
      <c r="L21" s="12">
        <f>Table1[[#This Row],[x ̿ ]]-VLOOKUP($P$1,$AB$3:$AH$26,2)*Table1[[#This Row],[R ̅]]</f>
        <v>12.159896</v>
      </c>
      <c r="M21" s="12">
        <f>VLOOKUP($P$1,$AB$3:$AH$26,7)*Table1[[#This Row],[R ̅]]</f>
        <v>2.8581280000000002</v>
      </c>
      <c r="N21" s="12">
        <f>VLOOKUP($P$1,$AB$3:$AH$26,6)*Table1[[#This Row],[R ̅]]</f>
        <v>0</v>
      </c>
      <c r="AB21" s="13">
        <v>20</v>
      </c>
      <c r="AC21" s="13">
        <v>0.18</v>
      </c>
      <c r="AD21" s="13">
        <v>0.68</v>
      </c>
      <c r="AE21" s="13">
        <v>0.51</v>
      </c>
      <c r="AF21" s="13">
        <v>1.49</v>
      </c>
      <c r="AG21" s="13">
        <v>0.41499999999999998</v>
      </c>
      <c r="AH21" s="13">
        <v>1.585</v>
      </c>
    </row>
    <row r="22" spans="1:34" x14ac:dyDescent="0.3">
      <c r="A22" s="11">
        <v>21</v>
      </c>
      <c r="B22" s="11">
        <v>13.3</v>
      </c>
      <c r="C22" s="11">
        <v>12.7</v>
      </c>
      <c r="D22" s="11">
        <v>12.6</v>
      </c>
      <c r="E22" s="11">
        <v>12.8</v>
      </c>
      <c r="F22" s="11">
        <v>12.7</v>
      </c>
      <c r="G22" s="11">
        <f t="shared" si="0"/>
        <v>12.820000000000002</v>
      </c>
      <c r="H22" s="11">
        <f t="shared" si="1"/>
        <v>0.70000000000000107</v>
      </c>
      <c r="I22" s="11">
        <f>AVERAGE(Table1[x ̅])</f>
        <v>12.94</v>
      </c>
      <c r="J22" s="11">
        <f>Table1[[#Totals],[R]]</f>
        <v>1.3520000000000001</v>
      </c>
      <c r="K22" s="12">
        <f>Table1[[#This Row],[x ̿ ]]+VLOOKUP($P$1,$AB$3:$AH$26,2)*Table1[[#This Row],[R ̅]]</f>
        <v>13.720103999999999</v>
      </c>
      <c r="L22" s="12">
        <f>Table1[[#This Row],[x ̿ ]]-VLOOKUP($P$1,$AB$3:$AH$26,2)*Table1[[#This Row],[R ̅]]</f>
        <v>12.159896</v>
      </c>
      <c r="M22" s="12">
        <f>VLOOKUP($P$1,$AB$3:$AH$26,7)*Table1[[#This Row],[R ̅]]</f>
        <v>2.8581280000000002</v>
      </c>
      <c r="N22" s="12">
        <f>VLOOKUP($P$1,$AB$3:$AH$26,6)*Table1[[#This Row],[R ̅]]</f>
        <v>0</v>
      </c>
      <c r="AB22" s="13">
        <v>21</v>
      </c>
      <c r="AC22" s="13">
        <v>0.17299999999999999</v>
      </c>
      <c r="AD22" s="13">
        <v>0.66300000000000003</v>
      </c>
      <c r="AE22" s="13">
        <v>0.52300000000000002</v>
      </c>
      <c r="AF22" s="13">
        <v>1.4770000000000001</v>
      </c>
      <c r="AG22" s="13">
        <v>0.42499999999999999</v>
      </c>
      <c r="AH22" s="13">
        <v>1.575</v>
      </c>
    </row>
    <row r="23" spans="1:34" x14ac:dyDescent="0.3">
      <c r="A23" s="11">
        <v>22</v>
      </c>
      <c r="B23" s="11">
        <v>13.9</v>
      </c>
      <c r="C23" s="11">
        <v>12.4</v>
      </c>
      <c r="D23" s="11">
        <v>12.7</v>
      </c>
      <c r="E23" s="11">
        <v>12.4</v>
      </c>
      <c r="F23" s="11">
        <v>12.8</v>
      </c>
      <c r="G23" s="11">
        <f t="shared" si="0"/>
        <v>12.84</v>
      </c>
      <c r="H23" s="11">
        <f t="shared" si="1"/>
        <v>1.5</v>
      </c>
      <c r="I23" s="11">
        <f>AVERAGE(Table1[x ̅])</f>
        <v>12.94</v>
      </c>
      <c r="J23" s="11">
        <f>Table1[[#Totals],[R]]</f>
        <v>1.3520000000000001</v>
      </c>
      <c r="K23" s="12">
        <f>Table1[[#This Row],[x ̿ ]]+VLOOKUP($P$1,$AB$3:$AH$26,2)*Table1[[#This Row],[R ̅]]</f>
        <v>13.720103999999999</v>
      </c>
      <c r="L23" s="12">
        <f>Table1[[#This Row],[x ̿ ]]-VLOOKUP($P$1,$AB$3:$AH$26,2)*Table1[[#This Row],[R ̅]]</f>
        <v>12.159896</v>
      </c>
      <c r="M23" s="12">
        <f>VLOOKUP($P$1,$AB$3:$AH$26,7)*Table1[[#This Row],[R ̅]]</f>
        <v>2.8581280000000002</v>
      </c>
      <c r="N23" s="12">
        <f>VLOOKUP($P$1,$AB$3:$AH$26,6)*Table1[[#This Row],[R ̅]]</f>
        <v>0</v>
      </c>
      <c r="AB23" s="13">
        <v>22</v>
      </c>
      <c r="AC23" s="13">
        <v>0.16700000000000001</v>
      </c>
      <c r="AD23" s="13">
        <v>0.64700000000000002</v>
      </c>
      <c r="AE23" s="13">
        <v>0.53400000000000003</v>
      </c>
      <c r="AF23" s="13">
        <v>1.466</v>
      </c>
      <c r="AG23" s="13">
        <v>0.434</v>
      </c>
      <c r="AH23" s="13">
        <v>1.5660000000000001</v>
      </c>
    </row>
    <row r="24" spans="1:34" x14ac:dyDescent="0.3">
      <c r="A24" s="11">
        <v>23</v>
      </c>
      <c r="B24" s="11">
        <v>13.2</v>
      </c>
      <c r="C24" s="11">
        <v>12.3</v>
      </c>
      <c r="D24" s="11">
        <v>12.6</v>
      </c>
      <c r="E24" s="11">
        <v>13.1</v>
      </c>
      <c r="F24" s="11">
        <v>12.7</v>
      </c>
      <c r="G24" s="11">
        <f t="shared" si="0"/>
        <v>12.780000000000001</v>
      </c>
      <c r="H24" s="11">
        <f t="shared" si="1"/>
        <v>0.89999999999999858</v>
      </c>
      <c r="I24" s="11">
        <f>AVERAGE(Table1[x ̅])</f>
        <v>12.94</v>
      </c>
      <c r="J24" s="11">
        <f>Table1[[#Totals],[R]]</f>
        <v>1.3520000000000001</v>
      </c>
      <c r="K24" s="12">
        <f>Table1[[#This Row],[x ̿ ]]+VLOOKUP($P$1,$AB$3:$AH$26,2)*Table1[[#This Row],[R ̅]]</f>
        <v>13.720103999999999</v>
      </c>
      <c r="L24" s="12">
        <f>Table1[[#This Row],[x ̿ ]]-VLOOKUP($P$1,$AB$3:$AH$26,2)*Table1[[#This Row],[R ̅]]</f>
        <v>12.159896</v>
      </c>
      <c r="M24" s="12">
        <f>VLOOKUP($P$1,$AB$3:$AH$26,7)*Table1[[#This Row],[R ̅]]</f>
        <v>2.8581280000000002</v>
      </c>
      <c r="N24" s="12">
        <f>VLOOKUP($P$1,$AB$3:$AH$26,6)*Table1[[#This Row],[R ̅]]</f>
        <v>0</v>
      </c>
      <c r="AB24" s="13">
        <v>23</v>
      </c>
      <c r="AC24" s="13">
        <v>0.16200000000000001</v>
      </c>
      <c r="AD24" s="13">
        <v>0.63300000000000001</v>
      </c>
      <c r="AE24" s="13">
        <v>0.54500000000000004</v>
      </c>
      <c r="AF24" s="13">
        <v>1.4550000000000001</v>
      </c>
      <c r="AG24" s="13">
        <v>0.443</v>
      </c>
      <c r="AH24" s="13">
        <v>1.5569999999999999</v>
      </c>
    </row>
    <row r="25" spans="1:34" x14ac:dyDescent="0.3">
      <c r="A25" s="11">
        <v>24</v>
      </c>
      <c r="B25" s="11">
        <v>13.2</v>
      </c>
      <c r="C25" s="11">
        <v>12.8</v>
      </c>
      <c r="D25" s="11">
        <v>12.8</v>
      </c>
      <c r="E25" s="11">
        <v>12.3</v>
      </c>
      <c r="F25" s="11">
        <v>12.6</v>
      </c>
      <c r="G25" s="11">
        <f t="shared" si="0"/>
        <v>12.739999999999998</v>
      </c>
      <c r="H25" s="11">
        <f t="shared" si="1"/>
        <v>0.89999999999999858</v>
      </c>
      <c r="I25" s="11">
        <f>AVERAGE(Table1[x ̅])</f>
        <v>12.94</v>
      </c>
      <c r="J25" s="11">
        <f>Table1[[#Totals],[R]]</f>
        <v>1.3520000000000001</v>
      </c>
      <c r="K25" s="12">
        <f>Table1[[#This Row],[x ̿ ]]+VLOOKUP($P$1,$AB$3:$AH$26,2)*Table1[[#This Row],[R ̅]]</f>
        <v>13.720103999999999</v>
      </c>
      <c r="L25" s="12">
        <f>Table1[[#This Row],[x ̿ ]]-VLOOKUP($P$1,$AB$3:$AH$26,2)*Table1[[#This Row],[R ̅]]</f>
        <v>12.159896</v>
      </c>
      <c r="M25" s="12">
        <f>VLOOKUP($P$1,$AB$3:$AH$26,7)*Table1[[#This Row],[R ̅]]</f>
        <v>2.8581280000000002</v>
      </c>
      <c r="N25" s="12">
        <f>VLOOKUP($P$1,$AB$3:$AH$26,6)*Table1[[#This Row],[R ̅]]</f>
        <v>0</v>
      </c>
      <c r="AB25" s="13">
        <v>24</v>
      </c>
      <c r="AC25" s="13">
        <v>0.157</v>
      </c>
      <c r="AD25" s="13">
        <v>0.61899999999999999</v>
      </c>
      <c r="AE25" s="13">
        <v>0.55500000000000005</v>
      </c>
      <c r="AF25" s="13">
        <v>1.4450000000000001</v>
      </c>
      <c r="AG25" s="13">
        <v>0.45100000000000001</v>
      </c>
      <c r="AH25" s="13">
        <v>1.548</v>
      </c>
    </row>
    <row r="26" spans="1:34" x14ac:dyDescent="0.3">
      <c r="A26" s="11">
        <v>25</v>
      </c>
      <c r="B26" s="11">
        <v>13.3</v>
      </c>
      <c r="C26" s="11">
        <v>12.8</v>
      </c>
      <c r="D26" s="11">
        <v>13</v>
      </c>
      <c r="E26" s="11">
        <v>12.3</v>
      </c>
      <c r="F26" s="11">
        <v>12.2</v>
      </c>
      <c r="G26" s="11">
        <f t="shared" si="0"/>
        <v>12.720000000000002</v>
      </c>
      <c r="H26" s="11">
        <f t="shared" si="1"/>
        <v>1.1000000000000014</v>
      </c>
      <c r="I26" s="11">
        <f>AVERAGE(Table1[x ̅])</f>
        <v>12.94</v>
      </c>
      <c r="J26" s="11">
        <f>Table1[[#Totals],[R]]</f>
        <v>1.3520000000000001</v>
      </c>
      <c r="K26" s="12">
        <f>Table1[[#This Row],[x ̿ ]]+VLOOKUP($P$1,$AB$3:$AH$26,2)*Table1[[#This Row],[R ̅]]</f>
        <v>13.720103999999999</v>
      </c>
      <c r="L26" s="12">
        <f>Table1[[#This Row],[x ̿ ]]-VLOOKUP($P$1,$AB$3:$AH$26,2)*Table1[[#This Row],[R ̅]]</f>
        <v>12.159896</v>
      </c>
      <c r="M26" s="12">
        <f>VLOOKUP($P$1,$AB$3:$AH$26,7)*Table1[[#This Row],[R ̅]]</f>
        <v>2.8581280000000002</v>
      </c>
      <c r="N26" s="12">
        <f>VLOOKUP($P$1,$AB$3:$AH$26,6)*Table1[[#This Row],[R ̅]]</f>
        <v>0</v>
      </c>
      <c r="AB26" s="13">
        <v>25</v>
      </c>
      <c r="AC26" s="13">
        <v>0.153</v>
      </c>
      <c r="AD26" s="13">
        <v>0.60599999999999998</v>
      </c>
      <c r="AE26" s="13">
        <v>0.56499999999999995</v>
      </c>
      <c r="AF26" s="13">
        <v>1.4350000000000001</v>
      </c>
      <c r="AG26" s="13">
        <v>0.45900000000000002</v>
      </c>
      <c r="AH26" s="13">
        <v>1.5409999999999999</v>
      </c>
    </row>
    <row r="27" spans="1:34" x14ac:dyDescent="0.3">
      <c r="A27" s="18" t="s">
        <v>31</v>
      </c>
      <c r="B27" s="19"/>
      <c r="C27" s="19"/>
      <c r="D27" s="19"/>
      <c r="E27" s="19"/>
      <c r="F27" s="19"/>
      <c r="G27" s="20">
        <f>SUBTOTAL(101,Table1[x ̅])</f>
        <v>12.94</v>
      </c>
      <c r="H27" s="20">
        <f>SUBTOTAL(101,Table1[R])</f>
        <v>1.3520000000000001</v>
      </c>
      <c r="I27" s="20"/>
      <c r="J27" s="20"/>
      <c r="K27" s="20"/>
      <c r="L27" s="20"/>
      <c r="M27" s="20"/>
      <c r="N27" s="20"/>
    </row>
  </sheetData>
  <mergeCells count="4">
    <mergeCell ref="AB1:AB2"/>
    <mergeCell ref="AC1:AD1"/>
    <mergeCell ref="AE1:AF1"/>
    <mergeCell ref="AG1:AH1"/>
  </mergeCells>
  <phoneticPr fontId="8" type="noConversion"/>
  <pageMargins left="0.7" right="0.7" top="0.75" bottom="0.75" header="0.3" footer="0.3"/>
  <pageSetup orientation="portrait" r:id="rId1"/>
  <ignoredErrors>
    <ignoredError sqref="G2:H2" formulaRange="1"/>
  </ignoredError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51B7-DDFE-4AF9-AC2E-4F14C4F0CD91}">
  <sheetPr codeName="Sheet9"/>
  <dimension ref="A1:AO27"/>
  <sheetViews>
    <sheetView topLeftCell="A24" zoomScale="190" zoomScaleNormal="190" workbookViewId="0">
      <selection activeCell="L20" sqref="L20"/>
    </sheetView>
  </sheetViews>
  <sheetFormatPr defaultColWidth="9.109375" defaultRowHeight="15.6" x14ac:dyDescent="0.3"/>
  <cols>
    <col min="1" max="13" width="9.109375" style="11"/>
    <col min="14" max="14" width="13" style="11" bestFit="1" customWidth="1"/>
    <col min="15" max="15" width="11.88671875" style="11" bestFit="1" customWidth="1"/>
    <col min="16" max="16" width="10.88671875" style="11" bestFit="1" customWidth="1"/>
    <col min="17" max="17" width="10.109375" style="11" bestFit="1" customWidth="1"/>
    <col min="18" max="21" width="13.109375" style="11" bestFit="1" customWidth="1"/>
    <col min="22" max="33" width="9.109375" style="10"/>
    <col min="34" max="34" width="0.5546875" style="10" customWidth="1"/>
    <col min="35" max="35" width="18.5546875" style="10" customWidth="1"/>
    <col min="36" max="16384" width="9.109375" style="10"/>
  </cols>
  <sheetData>
    <row r="1" spans="1:41" ht="19.5" customHeight="1" thickBot="1" x14ac:dyDescent="0.35">
      <c r="A1" s="5" t="s">
        <v>32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  <c r="N1" s="5" t="s">
        <v>38</v>
      </c>
      <c r="O1" s="5" t="s">
        <v>49</v>
      </c>
      <c r="P1" s="5" t="s">
        <v>40</v>
      </c>
      <c r="Q1" s="7" t="s">
        <v>70</v>
      </c>
      <c r="R1" s="5" t="s">
        <v>42</v>
      </c>
      <c r="S1" s="5" t="s">
        <v>43</v>
      </c>
      <c r="T1" s="5" t="s">
        <v>71</v>
      </c>
      <c r="U1" s="5" t="s">
        <v>72</v>
      </c>
      <c r="V1" s="8" t="s">
        <v>46</v>
      </c>
      <c r="W1" s="9">
        <f>COUNTA(B1:M1)</f>
        <v>12</v>
      </c>
      <c r="AI1" s="46" t="s">
        <v>47</v>
      </c>
      <c r="AJ1" s="48" t="s">
        <v>48</v>
      </c>
      <c r="AK1" s="49"/>
      <c r="AL1" s="48" t="s">
        <v>49</v>
      </c>
      <c r="AM1" s="49"/>
      <c r="AN1" s="48" t="s">
        <v>39</v>
      </c>
      <c r="AO1" s="49"/>
    </row>
    <row r="2" spans="1:41" x14ac:dyDescent="0.3">
      <c r="A2" s="11">
        <v>1</v>
      </c>
      <c r="B2" s="11">
        <v>14</v>
      </c>
      <c r="C2" s="17">
        <v>12.8</v>
      </c>
      <c r="D2" s="17">
        <v>12.5</v>
      </c>
      <c r="E2" s="17">
        <v>14.3</v>
      </c>
      <c r="F2" s="17">
        <v>12.7</v>
      </c>
      <c r="G2" s="17">
        <v>12.3</v>
      </c>
      <c r="H2" s="17">
        <v>14.3</v>
      </c>
      <c r="I2" s="17">
        <v>14.5</v>
      </c>
      <c r="J2" s="11">
        <v>12.6</v>
      </c>
      <c r="K2" s="11">
        <v>13.2</v>
      </c>
      <c r="L2" s="11">
        <v>13.1</v>
      </c>
      <c r="M2" s="11">
        <v>12.1</v>
      </c>
      <c r="N2" s="17">
        <f t="shared" ref="N2:N26" si="0">AVERAGE(B2:M2)</f>
        <v>13.199999999999998</v>
      </c>
      <c r="O2" s="17">
        <f>_xlfn.STDEV.S(Table13[[#This Row],[6]:[17]])</f>
        <v>0.85493221421881826</v>
      </c>
      <c r="P2" s="16">
        <f>AVERAGE(Table13[x ̅])</f>
        <v>12.973999999999997</v>
      </c>
      <c r="Q2" s="16">
        <f>Table13[[#Totals],[S]]</f>
        <v>0.81133428006448061</v>
      </c>
      <c r="R2" s="12">
        <f>Table13[[#This Row],[x ̿ ]]+VLOOKUP($W$1,$AI$3:$AO$26,3)*Table13[[#This Row],[S ̅]]</f>
        <v>13.692842172137127</v>
      </c>
      <c r="S2" s="12">
        <f>Table13[[#This Row],[x ̿ ]]-VLOOKUP($W$1,$AI$3:$AO$26,3)*Table13[[#This Row],[S ̅]]</f>
        <v>12.255157827862867</v>
      </c>
      <c r="T2" s="12">
        <f>VLOOKUP($W$1,$AI$3:$AO$26,5)*Table13[[#This Row],[S ̅]]</f>
        <v>1.335456224986135</v>
      </c>
      <c r="U2" s="12">
        <f>VLOOKUP($W$1,$AI$3:$AO$26,4)*Table13[[#This Row],[S ̅]]</f>
        <v>0.28721233514282613</v>
      </c>
      <c r="V2" s="8" t="s">
        <v>50</v>
      </c>
      <c r="W2" s="9">
        <f>COUNT(A:A)</f>
        <v>25</v>
      </c>
      <c r="AI2" s="47"/>
      <c r="AJ2" s="13" t="s">
        <v>51</v>
      </c>
      <c r="AK2" s="13" t="s">
        <v>52</v>
      </c>
      <c r="AL2" s="13" t="s">
        <v>53</v>
      </c>
      <c r="AM2" s="13" t="s">
        <v>54</v>
      </c>
      <c r="AN2" s="13" t="s">
        <v>55</v>
      </c>
      <c r="AO2" s="13" t="s">
        <v>56</v>
      </c>
    </row>
    <row r="3" spans="1:41" x14ac:dyDescent="0.3">
      <c r="A3" s="11">
        <v>2</v>
      </c>
      <c r="B3" s="11">
        <v>13.2</v>
      </c>
      <c r="C3" s="17">
        <v>13.8</v>
      </c>
      <c r="D3" s="17">
        <v>13.7</v>
      </c>
      <c r="E3" s="17">
        <v>14.4</v>
      </c>
      <c r="F3" s="17">
        <v>12.8</v>
      </c>
      <c r="G3" s="17">
        <v>11.8</v>
      </c>
      <c r="H3" s="17">
        <v>11.4</v>
      </c>
      <c r="I3" s="17">
        <v>13.8</v>
      </c>
      <c r="J3" s="11">
        <v>13.3</v>
      </c>
      <c r="K3" s="11">
        <v>12.7</v>
      </c>
      <c r="L3" s="11">
        <v>13.4</v>
      </c>
      <c r="M3" s="11">
        <v>12.1</v>
      </c>
      <c r="N3" s="17">
        <f t="shared" si="0"/>
        <v>13.033333333333333</v>
      </c>
      <c r="O3" s="17">
        <f>_xlfn.STDEV.S(Table13[[#This Row],[6]:[17]])</f>
        <v>0.90184995056457884</v>
      </c>
      <c r="P3" s="16">
        <f>AVERAGE(Table13[x ̅])</f>
        <v>12.973999999999997</v>
      </c>
      <c r="Q3" s="16">
        <f>Table13[[#Totals],[S]]</f>
        <v>0.81133428006448061</v>
      </c>
      <c r="R3" s="12">
        <f>Table13[[#This Row],[x ̿ ]]+VLOOKUP($W$1,$AI$3:$AO$26,3)*Table13[[#This Row],[S ̅]]</f>
        <v>13.692842172137127</v>
      </c>
      <c r="S3" s="12">
        <f>Table13[[#This Row],[x ̿ ]]-VLOOKUP($W$1,$AI$3:$AO$26,3)*Table13[[#This Row],[S ̅]]</f>
        <v>12.255157827862867</v>
      </c>
      <c r="T3" s="12">
        <f>VLOOKUP($W$1,$AI$3:$AO$26,5)*Table13[[#This Row],[S ̅]]</f>
        <v>1.335456224986135</v>
      </c>
      <c r="U3" s="12">
        <f>VLOOKUP($W$1,$AI$3:$AO$26,4)*Table13[[#This Row],[S ̅]]</f>
        <v>0.28721233514282613</v>
      </c>
      <c r="AI3" s="13" t="s">
        <v>57</v>
      </c>
      <c r="AJ3" s="13">
        <v>1.88</v>
      </c>
      <c r="AK3" s="13">
        <v>2.6589999999999998</v>
      </c>
      <c r="AL3" s="13">
        <v>0</v>
      </c>
      <c r="AM3" s="13">
        <v>3.2669999999999999</v>
      </c>
      <c r="AN3" s="13">
        <v>0</v>
      </c>
      <c r="AO3" s="13">
        <v>3.2669999999999999</v>
      </c>
    </row>
    <row r="4" spans="1:41" x14ac:dyDescent="0.3">
      <c r="A4" s="11">
        <v>3</v>
      </c>
      <c r="B4" s="11">
        <v>13.5</v>
      </c>
      <c r="C4" s="17">
        <v>13.8</v>
      </c>
      <c r="D4" s="17">
        <v>13</v>
      </c>
      <c r="E4" s="17">
        <v>12.2</v>
      </c>
      <c r="F4" s="17">
        <v>13.1</v>
      </c>
      <c r="G4" s="17">
        <v>14</v>
      </c>
      <c r="H4" s="17">
        <v>11.3</v>
      </c>
      <c r="I4" s="17">
        <v>11.2</v>
      </c>
      <c r="J4" s="11">
        <v>12.8</v>
      </c>
      <c r="K4" s="11">
        <v>13</v>
      </c>
      <c r="L4" s="11">
        <v>12.8</v>
      </c>
      <c r="M4" s="11">
        <v>12.4</v>
      </c>
      <c r="N4" s="17">
        <f t="shared" si="0"/>
        <v>12.758333333333333</v>
      </c>
      <c r="O4" s="17">
        <f>_xlfn.STDEV.S(Table13[[#This Row],[6]:[17]])</f>
        <v>0.87433957760683412</v>
      </c>
      <c r="P4" s="16">
        <f>AVERAGE(Table13[x ̅])</f>
        <v>12.973999999999997</v>
      </c>
      <c r="Q4" s="16">
        <f>Table13[[#Totals],[S]]</f>
        <v>0.81133428006448061</v>
      </c>
      <c r="R4" s="12">
        <f>Table13[[#This Row],[x ̿ ]]+VLOOKUP($W$1,$AI$3:$AO$26,3)*Table13[[#This Row],[S ̅]]</f>
        <v>13.692842172137127</v>
      </c>
      <c r="S4" s="12">
        <f>Table13[[#This Row],[x ̿ ]]-VLOOKUP($W$1,$AI$3:$AO$26,3)*Table13[[#This Row],[S ̅]]</f>
        <v>12.255157827862867</v>
      </c>
      <c r="T4" s="12">
        <f>VLOOKUP($W$1,$AI$3:$AO$26,5)*Table13[[#This Row],[S ̅]]</f>
        <v>1.335456224986135</v>
      </c>
      <c r="U4" s="12">
        <f>VLOOKUP($W$1,$AI$3:$AO$26,4)*Table13[[#This Row],[S ̅]]</f>
        <v>0.28721233514282613</v>
      </c>
      <c r="AI4" s="13">
        <v>3</v>
      </c>
      <c r="AJ4" s="13">
        <v>1.0229999999999999</v>
      </c>
      <c r="AK4" s="13">
        <v>1.954</v>
      </c>
      <c r="AL4" s="13">
        <v>0</v>
      </c>
      <c r="AM4" s="13">
        <v>2.5680000000000001</v>
      </c>
      <c r="AN4" s="13">
        <v>0</v>
      </c>
      <c r="AO4" s="13">
        <v>2.5739999999999998</v>
      </c>
    </row>
    <row r="5" spans="1:41" x14ac:dyDescent="0.3">
      <c r="A5" s="11">
        <v>4</v>
      </c>
      <c r="B5" s="11">
        <v>13.9</v>
      </c>
      <c r="C5" s="17">
        <v>12.1</v>
      </c>
      <c r="D5" s="17">
        <v>14.4</v>
      </c>
      <c r="E5" s="17">
        <v>12.4</v>
      </c>
      <c r="F5" s="17">
        <v>11.9</v>
      </c>
      <c r="G5" s="17">
        <v>12.2</v>
      </c>
      <c r="H5" s="17">
        <v>13.8</v>
      </c>
      <c r="I5" s="17">
        <v>13.8</v>
      </c>
      <c r="J5" s="11">
        <v>12.4</v>
      </c>
      <c r="K5" s="11">
        <v>13.3</v>
      </c>
      <c r="L5" s="11">
        <v>13.1</v>
      </c>
      <c r="M5" s="11">
        <v>13.2</v>
      </c>
      <c r="N5" s="17">
        <f t="shared" si="0"/>
        <v>13.041666666666666</v>
      </c>
      <c r="O5" s="17">
        <f>_xlfn.STDEV.S(Table13[[#This Row],[6]:[17]])</f>
        <v>0.82842493853570043</v>
      </c>
      <c r="P5" s="16">
        <f>AVERAGE(Table13[x ̅])</f>
        <v>12.973999999999997</v>
      </c>
      <c r="Q5" s="16">
        <f>Table13[[#Totals],[S]]</f>
        <v>0.81133428006448061</v>
      </c>
      <c r="R5" s="12">
        <f>Table13[[#This Row],[x ̿ ]]+VLOOKUP($W$1,$AI$3:$AO$26,3)*Table13[[#This Row],[S ̅]]</f>
        <v>13.692842172137127</v>
      </c>
      <c r="S5" s="12">
        <f>Table13[[#This Row],[x ̿ ]]-VLOOKUP($W$1,$AI$3:$AO$26,3)*Table13[[#This Row],[S ̅]]</f>
        <v>12.255157827862867</v>
      </c>
      <c r="T5" s="12">
        <f>VLOOKUP($W$1,$AI$3:$AO$26,5)*Table13[[#This Row],[S ̅]]</f>
        <v>1.335456224986135</v>
      </c>
      <c r="U5" s="12">
        <f>VLOOKUP($W$1,$AI$3:$AO$26,4)*Table13[[#This Row],[S ̅]]</f>
        <v>0.28721233514282613</v>
      </c>
      <c r="AI5" s="13">
        <v>4</v>
      </c>
      <c r="AJ5" s="13">
        <v>0.72899999999999998</v>
      </c>
      <c r="AK5" s="13">
        <v>1.6279999999999999</v>
      </c>
      <c r="AL5" s="13">
        <v>0</v>
      </c>
      <c r="AM5" s="13">
        <v>2.266</v>
      </c>
      <c r="AN5" s="13">
        <v>0</v>
      </c>
      <c r="AO5" s="13">
        <v>2.282</v>
      </c>
    </row>
    <row r="6" spans="1:41" x14ac:dyDescent="0.3">
      <c r="A6" s="11">
        <v>5</v>
      </c>
      <c r="B6" s="11">
        <v>13</v>
      </c>
      <c r="C6" s="17">
        <v>12.3</v>
      </c>
      <c r="D6" s="17">
        <v>12.1</v>
      </c>
      <c r="E6" s="17">
        <v>13.4</v>
      </c>
      <c r="F6" s="17">
        <v>14</v>
      </c>
      <c r="G6" s="17">
        <v>12.4</v>
      </c>
      <c r="H6" s="17">
        <v>13.2</v>
      </c>
      <c r="I6" s="17">
        <v>12.2</v>
      </c>
      <c r="J6" s="11">
        <v>13</v>
      </c>
      <c r="K6" s="11">
        <v>12.1</v>
      </c>
      <c r="L6" s="11">
        <v>12.2</v>
      </c>
      <c r="M6" s="11">
        <v>13.3</v>
      </c>
      <c r="N6" s="17">
        <f t="shared" si="0"/>
        <v>12.766666666666667</v>
      </c>
      <c r="O6" s="17">
        <f>_xlfn.STDEV.S(Table13[[#This Row],[6]:[17]])</f>
        <v>0.63149653901496483</v>
      </c>
      <c r="P6" s="16">
        <f>AVERAGE(Table13[x ̅])</f>
        <v>12.973999999999997</v>
      </c>
      <c r="Q6" s="16">
        <f>Table13[[#Totals],[S]]</f>
        <v>0.81133428006448061</v>
      </c>
      <c r="R6" s="12">
        <f>Table13[[#This Row],[x ̿ ]]+VLOOKUP($W$1,$AI$3:$AO$26,3)*Table13[[#This Row],[S ̅]]</f>
        <v>13.692842172137127</v>
      </c>
      <c r="S6" s="12">
        <f>Table13[[#This Row],[x ̿ ]]-VLOOKUP($W$1,$AI$3:$AO$26,3)*Table13[[#This Row],[S ̅]]</f>
        <v>12.255157827862867</v>
      </c>
      <c r="T6" s="12">
        <f>VLOOKUP($W$1,$AI$3:$AO$26,5)*Table13[[#This Row],[S ̅]]</f>
        <v>1.335456224986135</v>
      </c>
      <c r="U6" s="12">
        <f>VLOOKUP($W$1,$AI$3:$AO$26,4)*Table13[[#This Row],[S ̅]]</f>
        <v>0.28721233514282613</v>
      </c>
      <c r="AI6" s="13">
        <v>5</v>
      </c>
      <c r="AJ6" s="13">
        <v>0.57699999999999996</v>
      </c>
      <c r="AK6" s="13">
        <v>1.427</v>
      </c>
      <c r="AL6" s="13">
        <v>0</v>
      </c>
      <c r="AM6" s="13">
        <v>2.089</v>
      </c>
      <c r="AN6" s="13">
        <v>0</v>
      </c>
      <c r="AO6" s="13">
        <v>2.1139999999999999</v>
      </c>
    </row>
    <row r="7" spans="1:41" x14ac:dyDescent="0.3">
      <c r="A7" s="11">
        <v>6</v>
      </c>
      <c r="B7" s="11">
        <v>13.7</v>
      </c>
      <c r="C7" s="17">
        <v>12.9</v>
      </c>
      <c r="D7" s="17">
        <v>13.7</v>
      </c>
      <c r="E7" s="17">
        <v>11.4</v>
      </c>
      <c r="F7" s="17">
        <v>12.3</v>
      </c>
      <c r="G7" s="17">
        <v>14</v>
      </c>
      <c r="H7" s="17">
        <v>14.4</v>
      </c>
      <c r="I7" s="17">
        <v>13.8</v>
      </c>
      <c r="J7" s="11">
        <v>12</v>
      </c>
      <c r="K7" s="11">
        <v>12.5</v>
      </c>
      <c r="L7" s="11">
        <v>12.4</v>
      </c>
      <c r="M7" s="11">
        <v>12.4</v>
      </c>
      <c r="N7" s="17">
        <f t="shared" si="0"/>
        <v>12.958333333333334</v>
      </c>
      <c r="O7" s="17">
        <f>_xlfn.STDEV.S(Table13[[#This Row],[6]:[17]])</f>
        <v>0.93367147554288266</v>
      </c>
      <c r="P7" s="16">
        <f>AVERAGE(Table13[x ̅])</f>
        <v>12.973999999999997</v>
      </c>
      <c r="Q7" s="16">
        <f>Table13[[#Totals],[S]]</f>
        <v>0.81133428006448061</v>
      </c>
      <c r="R7" s="12">
        <f>Table13[[#This Row],[x ̿ ]]+VLOOKUP($W$1,$AI$3:$AO$26,3)*Table13[[#This Row],[S ̅]]</f>
        <v>13.692842172137127</v>
      </c>
      <c r="S7" s="12">
        <f>Table13[[#This Row],[x ̿ ]]-VLOOKUP($W$1,$AI$3:$AO$26,3)*Table13[[#This Row],[S ̅]]</f>
        <v>12.255157827862867</v>
      </c>
      <c r="T7" s="12">
        <f>VLOOKUP($W$1,$AI$3:$AO$26,5)*Table13[[#This Row],[S ̅]]</f>
        <v>1.335456224986135</v>
      </c>
      <c r="U7" s="12">
        <f>VLOOKUP($W$1,$AI$3:$AO$26,4)*Table13[[#This Row],[S ̅]]</f>
        <v>0.28721233514282613</v>
      </c>
      <c r="AI7" s="13">
        <v>6</v>
      </c>
      <c r="AJ7" s="13">
        <v>0.48299999999999998</v>
      </c>
      <c r="AK7" s="13">
        <v>1.2869999999999999</v>
      </c>
      <c r="AL7" s="13">
        <v>0.03</v>
      </c>
      <c r="AM7" s="13">
        <v>1.97</v>
      </c>
      <c r="AN7" s="13">
        <v>0</v>
      </c>
      <c r="AO7" s="13">
        <v>2.004</v>
      </c>
    </row>
    <row r="8" spans="1:41" x14ac:dyDescent="0.3">
      <c r="A8" s="11">
        <v>7</v>
      </c>
      <c r="B8" s="11">
        <v>13.9</v>
      </c>
      <c r="C8" s="17">
        <v>14.1</v>
      </c>
      <c r="D8" s="17">
        <v>11.4</v>
      </c>
      <c r="E8" s="17">
        <v>14</v>
      </c>
      <c r="F8" s="17">
        <v>14.2</v>
      </c>
      <c r="G8" s="17">
        <v>11.8</v>
      </c>
      <c r="H8" s="17">
        <v>11.3</v>
      </c>
      <c r="I8" s="17">
        <v>11.4</v>
      </c>
      <c r="J8" s="11">
        <v>12.1</v>
      </c>
      <c r="K8" s="11">
        <v>12.7</v>
      </c>
      <c r="L8" s="11">
        <v>13.4</v>
      </c>
      <c r="M8" s="11">
        <v>13</v>
      </c>
      <c r="N8" s="17">
        <f t="shared" si="0"/>
        <v>12.774999999999999</v>
      </c>
      <c r="O8" s="17">
        <f>_xlfn.STDEV.S(Table13[[#This Row],[6]:[17]])</f>
        <v>1.1426643506217464</v>
      </c>
      <c r="P8" s="16">
        <f>AVERAGE(Table13[x ̅])</f>
        <v>12.973999999999997</v>
      </c>
      <c r="Q8" s="16">
        <f>Table13[[#Totals],[S]]</f>
        <v>0.81133428006448061</v>
      </c>
      <c r="R8" s="12">
        <f>Table13[[#This Row],[x ̿ ]]+VLOOKUP($W$1,$AI$3:$AO$26,3)*Table13[[#This Row],[S ̅]]</f>
        <v>13.692842172137127</v>
      </c>
      <c r="S8" s="12">
        <f>Table13[[#This Row],[x ̿ ]]-VLOOKUP($W$1,$AI$3:$AO$26,3)*Table13[[#This Row],[S ̅]]</f>
        <v>12.255157827862867</v>
      </c>
      <c r="T8" s="12">
        <f>VLOOKUP($W$1,$AI$3:$AO$26,5)*Table13[[#This Row],[S ̅]]</f>
        <v>1.335456224986135</v>
      </c>
      <c r="U8" s="12">
        <f>VLOOKUP($W$1,$AI$3:$AO$26,4)*Table13[[#This Row],[S ̅]]</f>
        <v>0.28721233514282613</v>
      </c>
      <c r="AI8" s="13">
        <v>7</v>
      </c>
      <c r="AJ8" s="13">
        <v>0.41899999999999998</v>
      </c>
      <c r="AK8" s="13">
        <v>1.1819999999999999</v>
      </c>
      <c r="AL8" s="13">
        <v>0.11799999999999999</v>
      </c>
      <c r="AM8" s="13">
        <v>1.8819999999999999</v>
      </c>
      <c r="AN8" s="13">
        <v>7.5999999999999998E-2</v>
      </c>
      <c r="AO8" s="13">
        <v>1.9239999999999999</v>
      </c>
    </row>
    <row r="9" spans="1:41" x14ac:dyDescent="0.3">
      <c r="A9" s="11">
        <v>8</v>
      </c>
      <c r="B9" s="11">
        <v>13.4</v>
      </c>
      <c r="C9" s="17">
        <v>13.6</v>
      </c>
      <c r="D9" s="17">
        <v>12.6</v>
      </c>
      <c r="E9" s="17">
        <v>14.2</v>
      </c>
      <c r="F9" s="17">
        <v>13.8</v>
      </c>
      <c r="G9" s="17">
        <v>13.6</v>
      </c>
      <c r="H9" s="17">
        <v>13.3</v>
      </c>
      <c r="I9" s="17">
        <v>14.2</v>
      </c>
      <c r="J9" s="11">
        <v>13.6</v>
      </c>
      <c r="K9" s="11">
        <v>13</v>
      </c>
      <c r="L9" s="11">
        <v>12.4</v>
      </c>
      <c r="M9" s="11">
        <v>13.5</v>
      </c>
      <c r="N9" s="17">
        <f t="shared" si="0"/>
        <v>13.433333333333332</v>
      </c>
      <c r="O9" s="17">
        <f>_xlfn.STDEV.S(Table13[[#This Row],[6]:[17]])</f>
        <v>0.55322744514404376</v>
      </c>
      <c r="P9" s="16">
        <f>AVERAGE(Table13[x ̅])</f>
        <v>12.973999999999997</v>
      </c>
      <c r="Q9" s="16">
        <f>Table13[[#Totals],[S]]</f>
        <v>0.81133428006448061</v>
      </c>
      <c r="R9" s="12">
        <f>Table13[[#This Row],[x ̿ ]]+VLOOKUP($W$1,$AI$3:$AO$26,3)*Table13[[#This Row],[S ̅]]</f>
        <v>13.692842172137127</v>
      </c>
      <c r="S9" s="12">
        <f>Table13[[#This Row],[x ̿ ]]-VLOOKUP($W$1,$AI$3:$AO$26,3)*Table13[[#This Row],[S ̅]]</f>
        <v>12.255157827862867</v>
      </c>
      <c r="T9" s="12">
        <f>VLOOKUP($W$1,$AI$3:$AO$26,5)*Table13[[#This Row],[S ̅]]</f>
        <v>1.335456224986135</v>
      </c>
      <c r="U9" s="12">
        <f>VLOOKUP($W$1,$AI$3:$AO$26,4)*Table13[[#This Row],[S ̅]]</f>
        <v>0.28721233514282613</v>
      </c>
      <c r="AI9" s="13">
        <v>8</v>
      </c>
      <c r="AJ9" s="13">
        <v>0.373</v>
      </c>
      <c r="AK9" s="13">
        <v>1.099</v>
      </c>
      <c r="AL9" s="13">
        <v>0.185</v>
      </c>
      <c r="AM9" s="13">
        <v>1.8149999999999999</v>
      </c>
      <c r="AN9" s="13">
        <v>0.13600000000000001</v>
      </c>
      <c r="AO9" s="13">
        <v>1.8640000000000001</v>
      </c>
    </row>
    <row r="10" spans="1:41" x14ac:dyDescent="0.3">
      <c r="A10" s="11">
        <v>9</v>
      </c>
      <c r="B10" s="11">
        <v>14.4</v>
      </c>
      <c r="C10" s="17">
        <v>11.2</v>
      </c>
      <c r="D10" s="17">
        <v>14.5</v>
      </c>
      <c r="E10" s="17">
        <v>14.3</v>
      </c>
      <c r="F10" s="17">
        <v>12.2</v>
      </c>
      <c r="G10" s="17">
        <v>13.7</v>
      </c>
      <c r="H10" s="17">
        <v>11.5</v>
      </c>
      <c r="I10" s="17">
        <v>12.9</v>
      </c>
      <c r="J10" s="11">
        <v>12.4</v>
      </c>
      <c r="K10" s="11">
        <v>12.2</v>
      </c>
      <c r="L10" s="11">
        <v>12.4</v>
      </c>
      <c r="M10" s="11">
        <v>12.5</v>
      </c>
      <c r="N10" s="17">
        <f t="shared" si="0"/>
        <v>12.850000000000001</v>
      </c>
      <c r="O10" s="17">
        <f>_xlfn.STDEV.S(Table13[[#This Row],[6]:[17]])</f>
        <v>1.1229020842927897</v>
      </c>
      <c r="P10" s="16">
        <f>AVERAGE(Table13[x ̅])</f>
        <v>12.973999999999997</v>
      </c>
      <c r="Q10" s="16">
        <f>Table13[[#Totals],[S]]</f>
        <v>0.81133428006448061</v>
      </c>
      <c r="R10" s="12">
        <f>Table13[[#This Row],[x ̿ ]]+VLOOKUP($W$1,$AI$3:$AO$26,3)*Table13[[#This Row],[S ̅]]</f>
        <v>13.692842172137127</v>
      </c>
      <c r="S10" s="12">
        <f>Table13[[#This Row],[x ̿ ]]-VLOOKUP($W$1,$AI$3:$AO$26,3)*Table13[[#This Row],[S ̅]]</f>
        <v>12.255157827862867</v>
      </c>
      <c r="T10" s="12">
        <f>VLOOKUP($W$1,$AI$3:$AO$26,5)*Table13[[#This Row],[S ̅]]</f>
        <v>1.335456224986135</v>
      </c>
      <c r="U10" s="12">
        <f>VLOOKUP($W$1,$AI$3:$AO$26,4)*Table13[[#This Row],[S ̅]]</f>
        <v>0.28721233514282613</v>
      </c>
      <c r="AI10" s="13">
        <v>9</v>
      </c>
      <c r="AJ10" s="13">
        <v>0.33700000000000002</v>
      </c>
      <c r="AK10" s="13">
        <v>1.032</v>
      </c>
      <c r="AL10" s="13">
        <v>0.23899999999999999</v>
      </c>
      <c r="AM10" s="13">
        <v>1.7609999999999999</v>
      </c>
      <c r="AN10" s="13">
        <v>0.184</v>
      </c>
      <c r="AO10" s="13">
        <v>1.8160000000000001</v>
      </c>
    </row>
    <row r="11" spans="1:41" x14ac:dyDescent="0.3">
      <c r="A11" s="11">
        <v>10</v>
      </c>
      <c r="B11" s="11">
        <v>13.3</v>
      </c>
      <c r="C11" s="17">
        <v>13.9</v>
      </c>
      <c r="D11" s="17">
        <v>14.2</v>
      </c>
      <c r="E11" s="17">
        <v>13.4</v>
      </c>
      <c r="F11" s="17">
        <v>13.3</v>
      </c>
      <c r="G11" s="17">
        <v>13.5</v>
      </c>
      <c r="H11" s="17">
        <v>14.1</v>
      </c>
      <c r="I11" s="17">
        <v>13.7</v>
      </c>
      <c r="J11" s="11">
        <v>12.4</v>
      </c>
      <c r="K11" s="11">
        <v>12.6</v>
      </c>
      <c r="L11" s="11">
        <v>12.9</v>
      </c>
      <c r="M11" s="11">
        <v>12.8</v>
      </c>
      <c r="N11" s="17">
        <f t="shared" si="0"/>
        <v>13.341666666666669</v>
      </c>
      <c r="O11" s="17">
        <f>_xlfn.STDEV.S(Table13[[#This Row],[6]:[17]])</f>
        <v>0.58068663640294782</v>
      </c>
      <c r="P11" s="16">
        <f>AVERAGE(Table13[x ̅])</f>
        <v>12.973999999999997</v>
      </c>
      <c r="Q11" s="16">
        <f>Table13[[#Totals],[S]]</f>
        <v>0.81133428006448061</v>
      </c>
      <c r="R11" s="12">
        <f>Table13[[#This Row],[x ̿ ]]+VLOOKUP($W$1,$AI$3:$AO$26,3)*Table13[[#This Row],[S ̅]]</f>
        <v>13.692842172137127</v>
      </c>
      <c r="S11" s="12">
        <f>Table13[[#This Row],[x ̿ ]]-VLOOKUP($W$1,$AI$3:$AO$26,3)*Table13[[#This Row],[S ̅]]</f>
        <v>12.255157827862867</v>
      </c>
      <c r="T11" s="12">
        <f>VLOOKUP($W$1,$AI$3:$AO$26,5)*Table13[[#This Row],[S ̅]]</f>
        <v>1.335456224986135</v>
      </c>
      <c r="U11" s="12">
        <f>VLOOKUP($W$1,$AI$3:$AO$26,4)*Table13[[#This Row],[S ̅]]</f>
        <v>0.28721233514282613</v>
      </c>
      <c r="AI11" s="13">
        <v>10</v>
      </c>
      <c r="AJ11" s="13">
        <v>0.308</v>
      </c>
      <c r="AK11" s="13">
        <v>0.97499999999999998</v>
      </c>
      <c r="AL11" s="13">
        <v>0.28399999999999997</v>
      </c>
      <c r="AM11" s="13">
        <v>1.716</v>
      </c>
      <c r="AN11" s="13">
        <v>0.223</v>
      </c>
      <c r="AO11" s="13">
        <v>1.7769999999999999</v>
      </c>
    </row>
    <row r="12" spans="1:41" x14ac:dyDescent="0.3">
      <c r="A12" s="11">
        <v>11</v>
      </c>
      <c r="B12" s="11">
        <v>13.3</v>
      </c>
      <c r="C12" s="17">
        <v>14.4</v>
      </c>
      <c r="D12" s="17">
        <v>14.5</v>
      </c>
      <c r="E12" s="17">
        <v>13.9</v>
      </c>
      <c r="F12" s="17">
        <v>13.9</v>
      </c>
      <c r="G12" s="17">
        <v>13.6</v>
      </c>
      <c r="H12" s="17">
        <v>11.9</v>
      </c>
      <c r="I12" s="17">
        <v>12.8</v>
      </c>
      <c r="J12" s="11">
        <v>12.8</v>
      </c>
      <c r="K12" s="11">
        <v>13</v>
      </c>
      <c r="L12" s="11">
        <v>13</v>
      </c>
      <c r="M12" s="11">
        <v>13.1</v>
      </c>
      <c r="N12" s="17">
        <f t="shared" si="0"/>
        <v>13.35</v>
      </c>
      <c r="O12" s="17">
        <f>_xlfn.STDEV.S(Table13[[#This Row],[6]:[17]])</f>
        <v>0.74528822978398446</v>
      </c>
      <c r="P12" s="16">
        <f>AVERAGE(Table13[x ̅])</f>
        <v>12.973999999999997</v>
      </c>
      <c r="Q12" s="16">
        <f>Table13[[#Totals],[S]]</f>
        <v>0.81133428006448061</v>
      </c>
      <c r="R12" s="12">
        <f>Table13[[#This Row],[x ̿ ]]+VLOOKUP($W$1,$AI$3:$AO$26,3)*Table13[[#This Row],[S ̅]]</f>
        <v>13.692842172137127</v>
      </c>
      <c r="S12" s="12">
        <f>Table13[[#This Row],[x ̿ ]]-VLOOKUP($W$1,$AI$3:$AO$26,3)*Table13[[#This Row],[S ̅]]</f>
        <v>12.255157827862867</v>
      </c>
      <c r="T12" s="12">
        <f>VLOOKUP($W$1,$AI$3:$AO$26,5)*Table13[[#This Row],[S ̅]]</f>
        <v>1.335456224986135</v>
      </c>
      <c r="U12" s="12">
        <f>VLOOKUP($W$1,$AI$3:$AO$26,4)*Table13[[#This Row],[S ̅]]</f>
        <v>0.28721233514282613</v>
      </c>
      <c r="AI12" s="13">
        <v>11</v>
      </c>
      <c r="AJ12" s="13">
        <v>0.28499999999999998</v>
      </c>
      <c r="AK12" s="13">
        <v>0.92700000000000005</v>
      </c>
      <c r="AL12" s="13">
        <v>0.32100000000000001</v>
      </c>
      <c r="AM12" s="13">
        <v>1.679</v>
      </c>
      <c r="AN12" s="13">
        <v>0.25600000000000001</v>
      </c>
      <c r="AO12" s="13">
        <v>1.744</v>
      </c>
    </row>
    <row r="13" spans="1:41" x14ac:dyDescent="0.3">
      <c r="A13" s="11">
        <v>12</v>
      </c>
      <c r="B13" s="11">
        <v>13.6</v>
      </c>
      <c r="C13" s="17">
        <v>12.1</v>
      </c>
      <c r="D13" s="17">
        <v>11.4</v>
      </c>
      <c r="E13" s="17">
        <v>14.5</v>
      </c>
      <c r="F13" s="17">
        <v>14.1</v>
      </c>
      <c r="G13" s="17">
        <v>13.9</v>
      </c>
      <c r="H13" s="17">
        <v>11.5</v>
      </c>
      <c r="I13" s="17">
        <v>13.7</v>
      </c>
      <c r="J13" s="11">
        <v>12.5</v>
      </c>
      <c r="K13" s="11">
        <v>13.3</v>
      </c>
      <c r="L13" s="11">
        <v>13.5</v>
      </c>
      <c r="M13" s="11">
        <v>12.8</v>
      </c>
      <c r="N13" s="17">
        <f t="shared" si="0"/>
        <v>13.075000000000003</v>
      </c>
      <c r="O13" s="17">
        <f>_xlfn.STDEV.S(Table13[[#This Row],[6]:[17]])</f>
        <v>1.0136567466356645</v>
      </c>
      <c r="P13" s="16">
        <f>AVERAGE(Table13[x ̅])</f>
        <v>12.973999999999997</v>
      </c>
      <c r="Q13" s="16">
        <f>Table13[[#Totals],[S]]</f>
        <v>0.81133428006448061</v>
      </c>
      <c r="R13" s="12">
        <f>Table13[[#This Row],[x ̿ ]]+VLOOKUP($W$1,$AI$3:$AO$26,3)*Table13[[#This Row],[S ̅]]</f>
        <v>13.692842172137127</v>
      </c>
      <c r="S13" s="12">
        <f>Table13[[#This Row],[x ̿ ]]-VLOOKUP($W$1,$AI$3:$AO$26,3)*Table13[[#This Row],[S ̅]]</f>
        <v>12.255157827862867</v>
      </c>
      <c r="T13" s="12">
        <f>VLOOKUP($W$1,$AI$3:$AO$26,5)*Table13[[#This Row],[S ̅]]</f>
        <v>1.335456224986135</v>
      </c>
      <c r="U13" s="12">
        <f>VLOOKUP($W$1,$AI$3:$AO$26,4)*Table13[[#This Row],[S ̅]]</f>
        <v>0.28721233514282613</v>
      </c>
      <c r="AI13" s="13">
        <v>12</v>
      </c>
      <c r="AJ13" s="13">
        <v>0.26600000000000001</v>
      </c>
      <c r="AK13" s="13">
        <v>0.88600000000000001</v>
      </c>
      <c r="AL13" s="13">
        <v>0.35399999999999998</v>
      </c>
      <c r="AM13" s="13">
        <v>1.6459999999999999</v>
      </c>
      <c r="AN13" s="13">
        <v>0.28299999999999997</v>
      </c>
      <c r="AO13" s="13">
        <v>1.7170000000000001</v>
      </c>
    </row>
    <row r="14" spans="1:41" x14ac:dyDescent="0.3">
      <c r="A14" s="11">
        <v>13</v>
      </c>
      <c r="B14" s="11">
        <v>13.4</v>
      </c>
      <c r="C14" s="17">
        <v>13.7</v>
      </c>
      <c r="D14" s="17">
        <v>13.1</v>
      </c>
      <c r="E14" s="17">
        <v>13.4</v>
      </c>
      <c r="F14" s="17">
        <v>12.5</v>
      </c>
      <c r="G14" s="17">
        <v>12.2</v>
      </c>
      <c r="H14" s="17">
        <v>12.8</v>
      </c>
      <c r="I14" s="17">
        <v>14</v>
      </c>
      <c r="J14" s="11">
        <v>13.3</v>
      </c>
      <c r="K14" s="11">
        <v>12</v>
      </c>
      <c r="L14" s="11">
        <v>13</v>
      </c>
      <c r="M14" s="11">
        <v>13.1</v>
      </c>
      <c r="N14" s="17">
        <f t="shared" si="0"/>
        <v>13.041666666666664</v>
      </c>
      <c r="O14" s="17">
        <f>_xlfn.STDEV.S(Table13[[#This Row],[6]:[17]])</f>
        <v>0.59000513608447569</v>
      </c>
      <c r="P14" s="16">
        <f>AVERAGE(Table13[x ̅])</f>
        <v>12.973999999999997</v>
      </c>
      <c r="Q14" s="16">
        <f>Table13[[#Totals],[S]]</f>
        <v>0.81133428006448061</v>
      </c>
      <c r="R14" s="12">
        <f>Table13[[#This Row],[x ̿ ]]+VLOOKUP($W$1,$AI$3:$AO$26,3)*Table13[[#This Row],[S ̅]]</f>
        <v>13.692842172137127</v>
      </c>
      <c r="S14" s="12">
        <f>Table13[[#This Row],[x ̿ ]]-VLOOKUP($W$1,$AI$3:$AO$26,3)*Table13[[#This Row],[S ̅]]</f>
        <v>12.255157827862867</v>
      </c>
      <c r="T14" s="12">
        <f>VLOOKUP($W$1,$AI$3:$AO$26,5)*Table13[[#This Row],[S ̅]]</f>
        <v>1.335456224986135</v>
      </c>
      <c r="U14" s="12">
        <f>VLOOKUP($W$1,$AI$3:$AO$26,4)*Table13[[#This Row],[S ̅]]</f>
        <v>0.28721233514282613</v>
      </c>
      <c r="AI14" s="13">
        <v>13</v>
      </c>
      <c r="AJ14" s="13">
        <v>0.249</v>
      </c>
      <c r="AK14" s="13">
        <v>0.85</v>
      </c>
      <c r="AL14" s="13">
        <v>0.38200000000000001</v>
      </c>
      <c r="AM14" s="13">
        <v>1.6180000000000001</v>
      </c>
      <c r="AN14" s="13">
        <v>0.307</v>
      </c>
      <c r="AO14" s="13">
        <v>1.6930000000000001</v>
      </c>
    </row>
    <row r="15" spans="1:41" x14ac:dyDescent="0.3">
      <c r="A15" s="11">
        <v>14</v>
      </c>
      <c r="B15" s="11">
        <v>13.9</v>
      </c>
      <c r="C15" s="17">
        <v>11.9</v>
      </c>
      <c r="D15" s="17">
        <v>13.4</v>
      </c>
      <c r="E15" s="17">
        <v>11.5</v>
      </c>
      <c r="F15" s="17">
        <v>14.3</v>
      </c>
      <c r="G15" s="17">
        <v>12</v>
      </c>
      <c r="H15" s="17">
        <v>13.5</v>
      </c>
      <c r="I15" s="17">
        <v>14</v>
      </c>
      <c r="J15" s="11">
        <v>13.1</v>
      </c>
      <c r="K15" s="11">
        <v>13.5</v>
      </c>
      <c r="L15" s="11">
        <v>12.6</v>
      </c>
      <c r="M15" s="11">
        <v>12.8</v>
      </c>
      <c r="N15" s="17">
        <f t="shared" si="0"/>
        <v>13.041666666666666</v>
      </c>
      <c r="O15" s="17">
        <f>_xlfn.STDEV.S(Table13[[#This Row],[6]:[17]])</f>
        <v>0.89489291724391995</v>
      </c>
      <c r="P15" s="16">
        <f>AVERAGE(Table13[x ̅])</f>
        <v>12.973999999999997</v>
      </c>
      <c r="Q15" s="16">
        <f>Table13[[#Totals],[S]]</f>
        <v>0.81133428006448061</v>
      </c>
      <c r="R15" s="12">
        <f>Table13[[#This Row],[x ̿ ]]+VLOOKUP($W$1,$AI$3:$AO$26,3)*Table13[[#This Row],[S ̅]]</f>
        <v>13.692842172137127</v>
      </c>
      <c r="S15" s="12">
        <f>Table13[[#This Row],[x ̿ ]]-VLOOKUP($W$1,$AI$3:$AO$26,3)*Table13[[#This Row],[S ̅]]</f>
        <v>12.255157827862867</v>
      </c>
      <c r="T15" s="12">
        <f>VLOOKUP($W$1,$AI$3:$AO$26,5)*Table13[[#This Row],[S ̅]]</f>
        <v>1.335456224986135</v>
      </c>
      <c r="U15" s="12">
        <f>VLOOKUP($W$1,$AI$3:$AO$26,4)*Table13[[#This Row],[S ̅]]</f>
        <v>0.28721233514282613</v>
      </c>
      <c r="AI15" s="13">
        <v>14</v>
      </c>
      <c r="AJ15" s="13">
        <v>0.23499999999999999</v>
      </c>
      <c r="AK15" s="13">
        <v>0.81699999999999995</v>
      </c>
      <c r="AL15" s="13">
        <v>0.40600000000000003</v>
      </c>
      <c r="AM15" s="13">
        <v>1.5940000000000001</v>
      </c>
      <c r="AN15" s="13">
        <v>0.32800000000000001</v>
      </c>
      <c r="AO15" s="13">
        <v>1.6719999999999999</v>
      </c>
    </row>
    <row r="16" spans="1:41" x14ac:dyDescent="0.3">
      <c r="A16" s="11">
        <v>15</v>
      </c>
      <c r="B16" s="11">
        <v>14.2</v>
      </c>
      <c r="C16" s="17">
        <v>13.6</v>
      </c>
      <c r="D16" s="17">
        <v>14</v>
      </c>
      <c r="E16" s="17">
        <v>12.9</v>
      </c>
      <c r="F16" s="17">
        <v>11.6</v>
      </c>
      <c r="G16" s="17">
        <v>14.2</v>
      </c>
      <c r="H16" s="17">
        <v>12.6</v>
      </c>
      <c r="I16" s="17">
        <v>12.4</v>
      </c>
      <c r="J16" s="11">
        <v>12.7</v>
      </c>
      <c r="K16" s="11">
        <v>12.9</v>
      </c>
      <c r="L16" s="11">
        <v>12.9</v>
      </c>
      <c r="M16" s="11">
        <v>12.5</v>
      </c>
      <c r="N16" s="17">
        <f t="shared" si="0"/>
        <v>13.041666666666666</v>
      </c>
      <c r="O16" s="17">
        <f>_xlfn.STDEV.S(Table13[[#This Row],[6]:[17]])</f>
        <v>0.80165548407748999</v>
      </c>
      <c r="P16" s="16">
        <f>AVERAGE(Table13[x ̅])</f>
        <v>12.973999999999997</v>
      </c>
      <c r="Q16" s="16">
        <f>Table13[[#Totals],[S]]</f>
        <v>0.81133428006448061</v>
      </c>
      <c r="R16" s="12">
        <f>Table13[[#This Row],[x ̿ ]]+VLOOKUP($W$1,$AI$3:$AO$26,3)*Table13[[#This Row],[S ̅]]</f>
        <v>13.692842172137127</v>
      </c>
      <c r="S16" s="12">
        <f>Table13[[#This Row],[x ̿ ]]-VLOOKUP($W$1,$AI$3:$AO$26,3)*Table13[[#This Row],[S ̅]]</f>
        <v>12.255157827862867</v>
      </c>
      <c r="T16" s="12">
        <f>VLOOKUP($W$1,$AI$3:$AO$26,5)*Table13[[#This Row],[S ̅]]</f>
        <v>1.335456224986135</v>
      </c>
      <c r="U16" s="12">
        <f>VLOOKUP($W$1,$AI$3:$AO$26,4)*Table13[[#This Row],[S ̅]]</f>
        <v>0.28721233514282613</v>
      </c>
      <c r="AI16" s="13">
        <v>15</v>
      </c>
      <c r="AJ16" s="13">
        <v>0.223</v>
      </c>
      <c r="AK16" s="13">
        <v>0.78900000000000003</v>
      </c>
      <c r="AL16" s="13">
        <v>0.42799999999999999</v>
      </c>
      <c r="AM16" s="13">
        <v>1.5720000000000001</v>
      </c>
      <c r="AN16" s="13">
        <v>0.34699999999999998</v>
      </c>
      <c r="AO16" s="13">
        <v>1.653</v>
      </c>
    </row>
    <row r="17" spans="1:41" x14ac:dyDescent="0.3">
      <c r="A17" s="11">
        <v>16</v>
      </c>
      <c r="B17" s="11">
        <v>13.6</v>
      </c>
      <c r="C17" s="17">
        <v>13.8</v>
      </c>
      <c r="D17" s="17">
        <v>13.5</v>
      </c>
      <c r="E17" s="17">
        <v>13</v>
      </c>
      <c r="F17" s="17">
        <v>12.4</v>
      </c>
      <c r="G17" s="17">
        <v>13.2</v>
      </c>
      <c r="H17" s="17">
        <v>13.1</v>
      </c>
      <c r="I17" s="17">
        <v>12.7</v>
      </c>
      <c r="J17" s="11">
        <v>12.6</v>
      </c>
      <c r="K17" s="11">
        <v>12.4</v>
      </c>
      <c r="L17" s="11">
        <v>12.5</v>
      </c>
      <c r="M17" s="11">
        <v>12.2</v>
      </c>
      <c r="N17" s="17">
        <f t="shared" si="0"/>
        <v>12.916666666666664</v>
      </c>
      <c r="O17" s="17">
        <f>_xlfn.STDEV.S(Table13[[#This Row],[6]:[17]])</f>
        <v>0.52886384797693431</v>
      </c>
      <c r="P17" s="16">
        <f>AVERAGE(Table13[x ̅])</f>
        <v>12.973999999999997</v>
      </c>
      <c r="Q17" s="16">
        <f>Table13[[#Totals],[S]]</f>
        <v>0.81133428006448061</v>
      </c>
      <c r="R17" s="12">
        <f>Table13[[#This Row],[x ̿ ]]+VLOOKUP($W$1,$AI$3:$AO$26,3)*Table13[[#This Row],[S ̅]]</f>
        <v>13.692842172137127</v>
      </c>
      <c r="S17" s="12">
        <f>Table13[[#This Row],[x ̿ ]]-VLOOKUP($W$1,$AI$3:$AO$26,3)*Table13[[#This Row],[S ̅]]</f>
        <v>12.255157827862867</v>
      </c>
      <c r="T17" s="12">
        <f>VLOOKUP($W$1,$AI$3:$AO$26,5)*Table13[[#This Row],[S ̅]]</f>
        <v>1.335456224986135</v>
      </c>
      <c r="U17" s="12">
        <f>VLOOKUP($W$1,$AI$3:$AO$26,4)*Table13[[#This Row],[S ̅]]</f>
        <v>0.28721233514282613</v>
      </c>
      <c r="AI17" s="13">
        <v>16</v>
      </c>
      <c r="AJ17" s="13">
        <v>0.21199999999999999</v>
      </c>
      <c r="AK17" s="13">
        <v>0.76300000000000001</v>
      </c>
      <c r="AL17" s="13">
        <v>0.44800000000000001</v>
      </c>
      <c r="AM17" s="13">
        <v>1.552</v>
      </c>
      <c r="AN17" s="13">
        <v>0.36299999999999999</v>
      </c>
      <c r="AO17" s="13">
        <v>1.637</v>
      </c>
    </row>
    <row r="18" spans="1:41" x14ac:dyDescent="0.3">
      <c r="A18" s="11">
        <v>17</v>
      </c>
      <c r="B18" s="11">
        <v>14</v>
      </c>
      <c r="C18" s="17">
        <v>12.4</v>
      </c>
      <c r="D18" s="17">
        <v>13.7</v>
      </c>
      <c r="E18" s="17">
        <v>12.6</v>
      </c>
      <c r="F18" s="17">
        <v>14.5</v>
      </c>
      <c r="G18" s="17">
        <v>13.6</v>
      </c>
      <c r="H18" s="17">
        <v>13.4</v>
      </c>
      <c r="I18" s="17">
        <v>12.1</v>
      </c>
      <c r="J18" s="11">
        <v>13.2</v>
      </c>
      <c r="K18" s="11">
        <v>12.4</v>
      </c>
      <c r="L18" s="11">
        <v>13</v>
      </c>
      <c r="M18" s="11">
        <v>13</v>
      </c>
      <c r="N18" s="17">
        <f t="shared" si="0"/>
        <v>13.158333333333331</v>
      </c>
      <c r="O18" s="17">
        <f>_xlfn.STDEV.S(Table13[[#This Row],[6]:[17]])</f>
        <v>0.71916407703455953</v>
      </c>
      <c r="P18" s="16">
        <f>AVERAGE(Table13[x ̅])</f>
        <v>12.973999999999997</v>
      </c>
      <c r="Q18" s="16">
        <f>Table13[[#Totals],[S]]</f>
        <v>0.81133428006448061</v>
      </c>
      <c r="R18" s="12">
        <f>Table13[[#This Row],[x ̿ ]]+VLOOKUP($W$1,$AI$3:$AO$26,3)*Table13[[#This Row],[S ̅]]</f>
        <v>13.692842172137127</v>
      </c>
      <c r="S18" s="12">
        <f>Table13[[#This Row],[x ̿ ]]-VLOOKUP($W$1,$AI$3:$AO$26,3)*Table13[[#This Row],[S ̅]]</f>
        <v>12.255157827862867</v>
      </c>
      <c r="T18" s="12">
        <f>VLOOKUP($W$1,$AI$3:$AO$26,5)*Table13[[#This Row],[S ̅]]</f>
        <v>1.335456224986135</v>
      </c>
      <c r="U18" s="12">
        <f>VLOOKUP($W$1,$AI$3:$AO$26,4)*Table13[[#This Row],[S ̅]]</f>
        <v>0.28721233514282613</v>
      </c>
      <c r="AI18" s="13">
        <v>17</v>
      </c>
      <c r="AJ18" s="13">
        <v>0.20300000000000001</v>
      </c>
      <c r="AK18" s="13">
        <v>0.73899999999999999</v>
      </c>
      <c r="AL18" s="13">
        <v>0.46600000000000003</v>
      </c>
      <c r="AM18" s="13">
        <v>1.534</v>
      </c>
      <c r="AN18" s="13">
        <v>0.378</v>
      </c>
      <c r="AO18" s="13">
        <v>1.6220000000000001</v>
      </c>
    </row>
    <row r="19" spans="1:41" x14ac:dyDescent="0.3">
      <c r="A19" s="11">
        <v>18</v>
      </c>
      <c r="B19" s="11">
        <v>13.1</v>
      </c>
      <c r="C19" s="17">
        <v>13.5</v>
      </c>
      <c r="D19" s="17">
        <v>14</v>
      </c>
      <c r="E19" s="17">
        <v>14.3</v>
      </c>
      <c r="F19" s="17">
        <v>11.6</v>
      </c>
      <c r="G19" s="17">
        <v>14</v>
      </c>
      <c r="H19" s="17">
        <v>12.5</v>
      </c>
      <c r="I19" s="17">
        <v>12.4</v>
      </c>
      <c r="J19" s="11">
        <v>12.9</v>
      </c>
      <c r="K19" s="11">
        <v>13.5</v>
      </c>
      <c r="L19" s="11">
        <v>12.3</v>
      </c>
      <c r="M19" s="11">
        <v>12.8</v>
      </c>
      <c r="N19" s="17">
        <f t="shared" si="0"/>
        <v>13.075000000000003</v>
      </c>
      <c r="O19" s="17">
        <f>_xlfn.STDEV.S(Table13[[#This Row],[6]:[17]])</f>
        <v>0.81142411284672267</v>
      </c>
      <c r="P19" s="16">
        <f>AVERAGE(Table13[x ̅])</f>
        <v>12.973999999999997</v>
      </c>
      <c r="Q19" s="16">
        <f>Table13[[#Totals],[S]]</f>
        <v>0.81133428006448061</v>
      </c>
      <c r="R19" s="12">
        <f>Table13[[#This Row],[x ̿ ]]+VLOOKUP($W$1,$AI$3:$AO$26,3)*Table13[[#This Row],[S ̅]]</f>
        <v>13.692842172137127</v>
      </c>
      <c r="S19" s="12">
        <f>Table13[[#This Row],[x ̿ ]]-VLOOKUP($W$1,$AI$3:$AO$26,3)*Table13[[#This Row],[S ̅]]</f>
        <v>12.255157827862867</v>
      </c>
      <c r="T19" s="12">
        <f>VLOOKUP($W$1,$AI$3:$AO$26,5)*Table13[[#This Row],[S ̅]]</f>
        <v>1.335456224986135</v>
      </c>
      <c r="U19" s="12">
        <f>VLOOKUP($W$1,$AI$3:$AO$26,4)*Table13[[#This Row],[S ̅]]</f>
        <v>0.28721233514282613</v>
      </c>
      <c r="AI19" s="13">
        <v>18</v>
      </c>
      <c r="AJ19" s="13">
        <v>0.19400000000000001</v>
      </c>
      <c r="AK19" s="13">
        <v>0.71799999999999997</v>
      </c>
      <c r="AL19" s="13">
        <v>0.48199999999999998</v>
      </c>
      <c r="AM19" s="13">
        <v>1.518</v>
      </c>
      <c r="AN19" s="13">
        <v>0.39100000000000001</v>
      </c>
      <c r="AO19" s="13">
        <v>1.6080000000000001</v>
      </c>
    </row>
    <row r="20" spans="1:41" x14ac:dyDescent="0.3">
      <c r="A20" s="11">
        <v>19</v>
      </c>
      <c r="B20" s="11">
        <v>14.6</v>
      </c>
      <c r="C20" s="17">
        <v>11.7</v>
      </c>
      <c r="D20" s="17">
        <v>11.8</v>
      </c>
      <c r="E20" s="17">
        <v>12.4</v>
      </c>
      <c r="F20" s="17">
        <v>14.2</v>
      </c>
      <c r="G20" s="17">
        <v>12</v>
      </c>
      <c r="H20" s="17">
        <v>12</v>
      </c>
      <c r="I20" s="17">
        <v>12.6</v>
      </c>
      <c r="J20" s="11">
        <v>13.7</v>
      </c>
      <c r="K20" s="11">
        <v>13.4</v>
      </c>
      <c r="L20" s="11">
        <v>12.2</v>
      </c>
      <c r="M20" s="11">
        <v>12.5</v>
      </c>
      <c r="N20" s="17">
        <f t="shared" si="0"/>
        <v>12.758333333333331</v>
      </c>
      <c r="O20" s="17">
        <f>_xlfn.STDEV.S(Table13[[#This Row],[6]:[17]])</f>
        <v>0.97650427856748578</v>
      </c>
      <c r="P20" s="16">
        <f>AVERAGE(Table13[x ̅])</f>
        <v>12.973999999999997</v>
      </c>
      <c r="Q20" s="16">
        <f>Table13[[#Totals],[S]]</f>
        <v>0.81133428006448061</v>
      </c>
      <c r="R20" s="12">
        <f>Table13[[#This Row],[x ̿ ]]+VLOOKUP($W$1,$AI$3:$AO$26,3)*Table13[[#This Row],[S ̅]]</f>
        <v>13.692842172137127</v>
      </c>
      <c r="S20" s="12">
        <f>Table13[[#This Row],[x ̿ ]]-VLOOKUP($W$1,$AI$3:$AO$26,3)*Table13[[#This Row],[S ̅]]</f>
        <v>12.255157827862867</v>
      </c>
      <c r="T20" s="12">
        <f>VLOOKUP($W$1,$AI$3:$AO$26,5)*Table13[[#This Row],[S ̅]]</f>
        <v>1.335456224986135</v>
      </c>
      <c r="U20" s="12">
        <f>VLOOKUP($W$1,$AI$3:$AO$26,4)*Table13[[#This Row],[S ̅]]</f>
        <v>0.28721233514282613</v>
      </c>
      <c r="AI20" s="13">
        <v>19</v>
      </c>
      <c r="AJ20" s="13">
        <v>0.187</v>
      </c>
      <c r="AK20" s="13">
        <v>0.69799999999999995</v>
      </c>
      <c r="AL20" s="13">
        <v>0.497</v>
      </c>
      <c r="AM20" s="13">
        <v>1.5029999999999999</v>
      </c>
      <c r="AN20" s="13">
        <v>0.40300000000000002</v>
      </c>
      <c r="AO20" s="13">
        <v>1.597</v>
      </c>
    </row>
    <row r="21" spans="1:41" x14ac:dyDescent="0.3">
      <c r="A21" s="11">
        <v>20</v>
      </c>
      <c r="B21" s="11">
        <v>13.9</v>
      </c>
      <c r="C21" s="17">
        <v>13.2</v>
      </c>
      <c r="D21" s="17">
        <v>12</v>
      </c>
      <c r="E21" s="17">
        <v>14.5</v>
      </c>
      <c r="F21" s="17">
        <v>11.3</v>
      </c>
      <c r="G21" s="17">
        <v>11.5</v>
      </c>
      <c r="H21" s="17">
        <v>13.1</v>
      </c>
      <c r="I21" s="17">
        <v>12.2</v>
      </c>
      <c r="J21" s="11">
        <v>13</v>
      </c>
      <c r="K21" s="11">
        <v>13</v>
      </c>
      <c r="L21" s="11">
        <v>13.2</v>
      </c>
      <c r="M21" s="11">
        <v>12.6</v>
      </c>
      <c r="N21" s="17">
        <f t="shared" si="0"/>
        <v>12.791666666666666</v>
      </c>
      <c r="O21" s="17">
        <f>_xlfn.STDEV.S(Table13[[#This Row],[6]:[17]])</f>
        <v>0.9326972941014906</v>
      </c>
      <c r="P21" s="16">
        <f>AVERAGE(Table13[x ̅])</f>
        <v>12.973999999999997</v>
      </c>
      <c r="Q21" s="16">
        <f>Table13[[#Totals],[S]]</f>
        <v>0.81133428006448061</v>
      </c>
      <c r="R21" s="12">
        <f>Table13[[#This Row],[x ̿ ]]+VLOOKUP($W$1,$AI$3:$AO$26,3)*Table13[[#This Row],[S ̅]]</f>
        <v>13.692842172137127</v>
      </c>
      <c r="S21" s="12">
        <f>Table13[[#This Row],[x ̿ ]]-VLOOKUP($W$1,$AI$3:$AO$26,3)*Table13[[#This Row],[S ̅]]</f>
        <v>12.255157827862867</v>
      </c>
      <c r="T21" s="12">
        <f>VLOOKUP($W$1,$AI$3:$AO$26,5)*Table13[[#This Row],[S ̅]]</f>
        <v>1.335456224986135</v>
      </c>
      <c r="U21" s="12">
        <f>VLOOKUP($W$1,$AI$3:$AO$26,4)*Table13[[#This Row],[S ̅]]</f>
        <v>0.28721233514282613</v>
      </c>
      <c r="AI21" s="13">
        <v>20</v>
      </c>
      <c r="AJ21" s="13">
        <v>0.18</v>
      </c>
      <c r="AK21" s="13">
        <v>0.68</v>
      </c>
      <c r="AL21" s="13">
        <v>0.51</v>
      </c>
      <c r="AM21" s="13">
        <v>1.49</v>
      </c>
      <c r="AN21" s="13">
        <v>0.41499999999999998</v>
      </c>
      <c r="AO21" s="13">
        <v>1.585</v>
      </c>
    </row>
    <row r="22" spans="1:41" x14ac:dyDescent="0.3">
      <c r="A22" s="11">
        <v>21</v>
      </c>
      <c r="B22" s="11">
        <v>13.3</v>
      </c>
      <c r="C22" s="17">
        <v>14.3</v>
      </c>
      <c r="D22" s="17">
        <v>13.5</v>
      </c>
      <c r="E22" s="17">
        <v>12.7</v>
      </c>
      <c r="F22" s="17">
        <v>11.3</v>
      </c>
      <c r="G22" s="17">
        <v>12.6</v>
      </c>
      <c r="H22" s="17">
        <v>11.7</v>
      </c>
      <c r="I22" s="17">
        <v>11.7</v>
      </c>
      <c r="J22" s="11">
        <v>12.7</v>
      </c>
      <c r="K22" s="11">
        <v>12.6</v>
      </c>
      <c r="L22" s="11">
        <v>12.8</v>
      </c>
      <c r="M22" s="11">
        <v>12.7</v>
      </c>
      <c r="N22" s="17">
        <f t="shared" si="0"/>
        <v>12.658333333333331</v>
      </c>
      <c r="O22" s="17">
        <f>_xlfn.STDEV.S(Table13[[#This Row],[6]:[17]])</f>
        <v>0.82732683805718354</v>
      </c>
      <c r="P22" s="16">
        <f>AVERAGE(Table13[x ̅])</f>
        <v>12.973999999999997</v>
      </c>
      <c r="Q22" s="16">
        <f>Table13[[#Totals],[S]]</f>
        <v>0.81133428006448061</v>
      </c>
      <c r="R22" s="12">
        <f>Table13[[#This Row],[x ̿ ]]+VLOOKUP($W$1,$AI$3:$AO$26,3)*Table13[[#This Row],[S ̅]]</f>
        <v>13.692842172137127</v>
      </c>
      <c r="S22" s="12">
        <f>Table13[[#This Row],[x ̿ ]]-VLOOKUP($W$1,$AI$3:$AO$26,3)*Table13[[#This Row],[S ̅]]</f>
        <v>12.255157827862867</v>
      </c>
      <c r="T22" s="12">
        <f>VLOOKUP($W$1,$AI$3:$AO$26,5)*Table13[[#This Row],[S ̅]]</f>
        <v>1.335456224986135</v>
      </c>
      <c r="U22" s="12">
        <f>VLOOKUP($W$1,$AI$3:$AO$26,4)*Table13[[#This Row],[S ̅]]</f>
        <v>0.28721233514282613</v>
      </c>
      <c r="AI22" s="13">
        <v>21</v>
      </c>
      <c r="AJ22" s="13">
        <v>0.17299999999999999</v>
      </c>
      <c r="AK22" s="13">
        <v>0.66300000000000003</v>
      </c>
      <c r="AL22" s="13">
        <v>0.52300000000000002</v>
      </c>
      <c r="AM22" s="13">
        <v>1.4770000000000001</v>
      </c>
      <c r="AN22" s="13">
        <v>0.42499999999999999</v>
      </c>
      <c r="AO22" s="13">
        <v>1.575</v>
      </c>
    </row>
    <row r="23" spans="1:41" x14ac:dyDescent="0.3">
      <c r="A23" s="11">
        <v>22</v>
      </c>
      <c r="B23" s="11">
        <v>13.9</v>
      </c>
      <c r="C23" s="17">
        <v>11.9</v>
      </c>
      <c r="D23" s="17">
        <v>12.3</v>
      </c>
      <c r="E23" s="17">
        <v>12.8</v>
      </c>
      <c r="F23" s="17">
        <v>12.1</v>
      </c>
      <c r="G23" s="17">
        <v>11.7</v>
      </c>
      <c r="H23" s="17">
        <v>12.9</v>
      </c>
      <c r="I23" s="17">
        <v>11.6</v>
      </c>
      <c r="J23" s="11">
        <v>12.4</v>
      </c>
      <c r="K23" s="11">
        <v>12.7</v>
      </c>
      <c r="L23" s="11">
        <v>12.4</v>
      </c>
      <c r="M23" s="11">
        <v>12.8</v>
      </c>
      <c r="N23" s="17">
        <f t="shared" si="0"/>
        <v>12.458333333333336</v>
      </c>
      <c r="O23" s="17">
        <f>_xlfn.STDEV.S(Table13[[#This Row],[6]:[17]])</f>
        <v>0.62879152974478603</v>
      </c>
      <c r="P23" s="16">
        <f>AVERAGE(Table13[x ̅])</f>
        <v>12.973999999999997</v>
      </c>
      <c r="Q23" s="16">
        <f>Table13[[#Totals],[S]]</f>
        <v>0.81133428006448061</v>
      </c>
      <c r="R23" s="12">
        <f>Table13[[#This Row],[x ̿ ]]+VLOOKUP($W$1,$AI$3:$AO$26,3)*Table13[[#This Row],[S ̅]]</f>
        <v>13.692842172137127</v>
      </c>
      <c r="S23" s="12">
        <f>Table13[[#This Row],[x ̿ ]]-VLOOKUP($W$1,$AI$3:$AO$26,3)*Table13[[#This Row],[S ̅]]</f>
        <v>12.255157827862867</v>
      </c>
      <c r="T23" s="12">
        <f>VLOOKUP($W$1,$AI$3:$AO$26,5)*Table13[[#This Row],[S ̅]]</f>
        <v>1.335456224986135</v>
      </c>
      <c r="U23" s="12">
        <f>VLOOKUP($W$1,$AI$3:$AO$26,4)*Table13[[#This Row],[S ̅]]</f>
        <v>0.28721233514282613</v>
      </c>
      <c r="AI23" s="13">
        <v>22</v>
      </c>
      <c r="AJ23" s="13">
        <v>0.16700000000000001</v>
      </c>
      <c r="AK23" s="13">
        <v>0.64700000000000002</v>
      </c>
      <c r="AL23" s="13">
        <v>0.53400000000000003</v>
      </c>
      <c r="AM23" s="13">
        <v>1.466</v>
      </c>
      <c r="AN23" s="13">
        <v>0.434</v>
      </c>
      <c r="AO23" s="13">
        <v>1.5660000000000001</v>
      </c>
    </row>
    <row r="24" spans="1:41" x14ac:dyDescent="0.3">
      <c r="A24" s="11">
        <v>23</v>
      </c>
      <c r="B24" s="11">
        <v>13.2</v>
      </c>
      <c r="C24" s="17">
        <v>14.5</v>
      </c>
      <c r="D24" s="17">
        <v>11.6</v>
      </c>
      <c r="E24" s="17">
        <v>12.5</v>
      </c>
      <c r="F24" s="17">
        <v>14.3</v>
      </c>
      <c r="G24" s="17">
        <v>13</v>
      </c>
      <c r="H24" s="17">
        <v>13.1</v>
      </c>
      <c r="I24" s="17">
        <v>13.3</v>
      </c>
      <c r="J24" s="11">
        <v>12.3</v>
      </c>
      <c r="K24" s="11">
        <v>12.6</v>
      </c>
      <c r="L24" s="11">
        <v>13.1</v>
      </c>
      <c r="M24" s="11">
        <v>12.7</v>
      </c>
      <c r="N24" s="17">
        <f t="shared" si="0"/>
        <v>13.016666666666664</v>
      </c>
      <c r="O24" s="17">
        <f>_xlfn.STDEV.S(Table13[[#This Row],[6]:[17]])</f>
        <v>0.79981058363650692</v>
      </c>
      <c r="P24" s="16">
        <f>AVERAGE(Table13[x ̅])</f>
        <v>12.973999999999997</v>
      </c>
      <c r="Q24" s="16">
        <f>Table13[[#Totals],[S]]</f>
        <v>0.81133428006448061</v>
      </c>
      <c r="R24" s="12">
        <f>Table13[[#This Row],[x ̿ ]]+VLOOKUP($W$1,$AI$3:$AO$26,3)*Table13[[#This Row],[S ̅]]</f>
        <v>13.692842172137127</v>
      </c>
      <c r="S24" s="12">
        <f>Table13[[#This Row],[x ̿ ]]-VLOOKUP($W$1,$AI$3:$AO$26,3)*Table13[[#This Row],[S ̅]]</f>
        <v>12.255157827862867</v>
      </c>
      <c r="T24" s="12">
        <f>VLOOKUP($W$1,$AI$3:$AO$26,5)*Table13[[#This Row],[S ̅]]</f>
        <v>1.335456224986135</v>
      </c>
      <c r="U24" s="12">
        <f>VLOOKUP($W$1,$AI$3:$AO$26,4)*Table13[[#This Row],[S ̅]]</f>
        <v>0.28721233514282613</v>
      </c>
      <c r="AI24" s="13">
        <v>23</v>
      </c>
      <c r="AJ24" s="13">
        <v>0.16200000000000001</v>
      </c>
      <c r="AK24" s="13">
        <v>0.63300000000000001</v>
      </c>
      <c r="AL24" s="13">
        <v>0.54500000000000004</v>
      </c>
      <c r="AM24" s="13">
        <v>1.4550000000000001</v>
      </c>
      <c r="AN24" s="13">
        <v>0.443</v>
      </c>
      <c r="AO24" s="13">
        <v>1.5569999999999999</v>
      </c>
    </row>
    <row r="25" spans="1:41" x14ac:dyDescent="0.3">
      <c r="A25" s="11">
        <v>24</v>
      </c>
      <c r="B25" s="11">
        <v>13.2</v>
      </c>
      <c r="C25" s="17">
        <v>14.3</v>
      </c>
      <c r="D25" s="17">
        <v>13.9</v>
      </c>
      <c r="E25" s="17">
        <v>13.3</v>
      </c>
      <c r="F25" s="17">
        <v>11.3</v>
      </c>
      <c r="G25" s="17">
        <v>12.2</v>
      </c>
      <c r="H25" s="17">
        <v>12.5</v>
      </c>
      <c r="I25" s="17">
        <v>13.3</v>
      </c>
      <c r="J25" s="11">
        <v>12.8</v>
      </c>
      <c r="K25" s="11">
        <v>12.8</v>
      </c>
      <c r="L25" s="11">
        <v>12.3</v>
      </c>
      <c r="M25" s="11">
        <v>12.6</v>
      </c>
      <c r="N25" s="17">
        <f t="shared" si="0"/>
        <v>12.875</v>
      </c>
      <c r="O25" s="17">
        <f>_xlfn.STDEV.S(Table13[[#This Row],[6]:[17]])</f>
        <v>0.80014203284621477</v>
      </c>
      <c r="P25" s="16">
        <f>AVERAGE(Table13[x ̅])</f>
        <v>12.973999999999997</v>
      </c>
      <c r="Q25" s="16">
        <f>Table13[[#Totals],[S]]</f>
        <v>0.81133428006448061</v>
      </c>
      <c r="R25" s="12">
        <f>Table13[[#This Row],[x ̿ ]]+VLOOKUP($W$1,$AI$3:$AO$26,3)*Table13[[#This Row],[S ̅]]</f>
        <v>13.692842172137127</v>
      </c>
      <c r="S25" s="12">
        <f>Table13[[#This Row],[x ̿ ]]-VLOOKUP($W$1,$AI$3:$AO$26,3)*Table13[[#This Row],[S ̅]]</f>
        <v>12.255157827862867</v>
      </c>
      <c r="T25" s="12">
        <f>VLOOKUP($W$1,$AI$3:$AO$26,5)*Table13[[#This Row],[S ̅]]</f>
        <v>1.335456224986135</v>
      </c>
      <c r="U25" s="12">
        <f>VLOOKUP($W$1,$AI$3:$AO$26,4)*Table13[[#This Row],[S ̅]]</f>
        <v>0.28721233514282613</v>
      </c>
      <c r="AI25" s="13">
        <v>24</v>
      </c>
      <c r="AJ25" s="13">
        <v>0.157</v>
      </c>
      <c r="AK25" s="13">
        <v>0.61899999999999999</v>
      </c>
      <c r="AL25" s="13">
        <v>0.55500000000000005</v>
      </c>
      <c r="AM25" s="13">
        <v>1.4450000000000001</v>
      </c>
      <c r="AN25" s="13">
        <v>0.45100000000000001</v>
      </c>
      <c r="AO25" s="13">
        <v>1.548</v>
      </c>
    </row>
    <row r="26" spans="1:41" x14ac:dyDescent="0.3">
      <c r="A26" s="11">
        <v>25</v>
      </c>
      <c r="B26" s="11">
        <v>13.3</v>
      </c>
      <c r="C26" s="17">
        <v>12.4</v>
      </c>
      <c r="D26" s="17">
        <v>12.5</v>
      </c>
      <c r="E26" s="17">
        <v>11.7</v>
      </c>
      <c r="F26" s="17">
        <v>12.9</v>
      </c>
      <c r="G26" s="17">
        <v>13.8</v>
      </c>
      <c r="H26" s="17">
        <v>14</v>
      </c>
      <c r="I26" s="17">
        <v>14.3</v>
      </c>
      <c r="J26" s="11">
        <v>12.8</v>
      </c>
      <c r="K26" s="11">
        <v>13</v>
      </c>
      <c r="L26" s="11">
        <v>12.3</v>
      </c>
      <c r="M26" s="11">
        <v>12.2</v>
      </c>
      <c r="N26" s="17">
        <f t="shared" si="0"/>
        <v>12.933333333333332</v>
      </c>
      <c r="O26" s="17">
        <f>_xlfn.STDEV.S(Table13[[#This Row],[6]:[17]])</f>
        <v>0.78893868102929443</v>
      </c>
      <c r="P26" s="16">
        <f>AVERAGE(Table13[x ̅])</f>
        <v>12.973999999999997</v>
      </c>
      <c r="Q26" s="16">
        <f>Table13[[#Totals],[S]]</f>
        <v>0.81133428006448061</v>
      </c>
      <c r="R26" s="12">
        <f>Table13[[#This Row],[x ̿ ]]+VLOOKUP($W$1,$AI$3:$AO$26,3)*Table13[[#This Row],[S ̅]]</f>
        <v>13.692842172137127</v>
      </c>
      <c r="S26" s="12">
        <f>Table13[[#This Row],[x ̿ ]]-VLOOKUP($W$1,$AI$3:$AO$26,3)*Table13[[#This Row],[S ̅]]</f>
        <v>12.255157827862867</v>
      </c>
      <c r="T26" s="12">
        <f>VLOOKUP($W$1,$AI$3:$AO$26,5)*Table13[[#This Row],[S ̅]]</f>
        <v>1.335456224986135</v>
      </c>
      <c r="U26" s="12">
        <f>VLOOKUP($W$1,$AI$3:$AO$26,4)*Table13[[#This Row],[S ̅]]</f>
        <v>0.28721233514282613</v>
      </c>
      <c r="AI26" s="13">
        <v>25</v>
      </c>
      <c r="AJ26" s="13">
        <v>0.153</v>
      </c>
      <c r="AK26" s="13">
        <v>0.60599999999999998</v>
      </c>
      <c r="AL26" s="13">
        <v>0.56499999999999995</v>
      </c>
      <c r="AM26" s="13">
        <v>1.4350000000000001</v>
      </c>
      <c r="AN26" s="13">
        <v>0.45900000000000002</v>
      </c>
      <c r="AO26" s="13">
        <v>1.5409999999999999</v>
      </c>
    </row>
    <row r="27" spans="1:41" x14ac:dyDescent="0.3">
      <c r="A27" s="14" t="s">
        <v>31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>
        <f>SUBTOTAL(101,Table13[x ̅])</f>
        <v>12.973999999999997</v>
      </c>
      <c r="O27" s="16">
        <f>SUBTOTAL(101,Table13[S])</f>
        <v>0.81133428006448061</v>
      </c>
    </row>
  </sheetData>
  <mergeCells count="4">
    <mergeCell ref="AI1:AI2"/>
    <mergeCell ref="AJ1:AK1"/>
    <mergeCell ref="AL1:AM1"/>
    <mergeCell ref="AN1:A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5CC-6C25-4439-9D2D-A20AF7E0A313}">
  <sheetPr codeName="Sheet10"/>
  <dimension ref="A1:X27"/>
  <sheetViews>
    <sheetView topLeftCell="A15" zoomScale="112" zoomScaleNormal="115" workbookViewId="0">
      <selection activeCell="G26" sqref="G26"/>
    </sheetView>
  </sheetViews>
  <sheetFormatPr defaultColWidth="9.109375" defaultRowHeight="15.6" x14ac:dyDescent="0.3"/>
  <cols>
    <col min="1" max="7" width="22.88671875" style="11" customWidth="1"/>
    <col min="8" max="16" width="9.109375" style="10"/>
    <col min="17" max="17" width="0.5546875" style="10" customWidth="1"/>
    <col min="18" max="18" width="18.5546875" style="10" customWidth="1"/>
    <col min="19" max="16384" width="9.109375" style="10"/>
  </cols>
  <sheetData>
    <row r="1" spans="1:24" ht="19.5" customHeight="1" thickBot="1" x14ac:dyDescent="0.35">
      <c r="A1" s="5" t="s">
        <v>32</v>
      </c>
      <c r="B1" s="6" t="s">
        <v>73</v>
      </c>
      <c r="C1" s="6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8"/>
      <c r="I1" s="9"/>
      <c r="R1" s="46" t="s">
        <v>47</v>
      </c>
      <c r="S1" s="48" t="s">
        <v>48</v>
      </c>
      <c r="T1" s="49"/>
      <c r="U1" s="48" t="s">
        <v>49</v>
      </c>
      <c r="V1" s="49"/>
      <c r="W1" s="48" t="s">
        <v>39</v>
      </c>
      <c r="X1" s="49"/>
    </row>
    <row r="2" spans="1:24" x14ac:dyDescent="0.3">
      <c r="A2" s="11">
        <v>1</v>
      </c>
      <c r="B2" s="11">
        <v>115</v>
      </c>
      <c r="C2" s="11">
        <v>15</v>
      </c>
      <c r="D2" s="21">
        <f>Table110[[#This Row],[pn]]/Table110[[#This Row],[n]]</f>
        <v>0.13043478260869565</v>
      </c>
      <c r="E2" s="22">
        <f>Table110[[#Totals],[pn]]/Table110[[#Totals],[n]]</f>
        <v>0.1029535864978903</v>
      </c>
      <c r="F2" s="22">
        <f>Table110[[#This Row],[p ̅]]+3/SQRT(Table110[[#This Row],[n]])*SQRT(Table110[[#This Row],[p ̅]]*(1-Table110[[#This Row],[p ̅]]))</f>
        <v>0.18796955991905318</v>
      </c>
      <c r="G2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1.7937613076727407E-2</v>
      </c>
      <c r="H2" s="8" t="s">
        <v>50</v>
      </c>
      <c r="I2" s="9">
        <f>COUNT(A:A)</f>
        <v>25</v>
      </c>
      <c r="R2" s="47"/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</row>
    <row r="3" spans="1:24" x14ac:dyDescent="0.3">
      <c r="A3" s="11">
        <v>2</v>
      </c>
      <c r="B3" s="11">
        <v>220</v>
      </c>
      <c r="C3" s="11">
        <v>18</v>
      </c>
      <c r="D3" s="21">
        <f>Table110[[#This Row],[pn]]/Table110[[#This Row],[n]]</f>
        <v>8.1818181818181818E-2</v>
      </c>
      <c r="E3" s="22">
        <f>Table110[[#Totals],[pn]]/Table110[[#Totals],[n]]</f>
        <v>0.1029535864978903</v>
      </c>
      <c r="F3" s="22">
        <f>Table110[[#This Row],[p ̅]]+3/SQRT(Table110[[#This Row],[n]])*SQRT(Table110[[#This Row],[p ̅]]*(1-Table110[[#This Row],[p ̅]]))</f>
        <v>0.16442003372821432</v>
      </c>
      <c r="G3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3" s="13" t="s">
        <v>57</v>
      </c>
      <c r="S3" s="13">
        <v>1.88</v>
      </c>
      <c r="T3" s="13">
        <v>2.6589999999999998</v>
      </c>
      <c r="U3" s="13">
        <v>0</v>
      </c>
      <c r="V3" s="13">
        <v>3.2669999999999999</v>
      </c>
      <c r="W3" s="13">
        <v>0</v>
      </c>
      <c r="X3" s="13">
        <v>3.2669999999999999</v>
      </c>
    </row>
    <row r="4" spans="1:24" x14ac:dyDescent="0.3">
      <c r="A4" s="11">
        <v>3</v>
      </c>
      <c r="B4" s="11">
        <v>210</v>
      </c>
      <c r="C4" s="11">
        <v>23</v>
      </c>
      <c r="D4" s="21">
        <f>Table110[[#This Row],[pn]]/Table110[[#This Row],[n]]</f>
        <v>0.10952380952380952</v>
      </c>
      <c r="E4" s="22">
        <f>Table110[[#Totals],[pn]]/Table110[[#Totals],[n]]</f>
        <v>0.1029535864978903</v>
      </c>
      <c r="F4" s="22">
        <f>Table110[[#This Row],[p ̅]]+3/SQRT(Table110[[#This Row],[n]])*SQRT(Table110[[#This Row],[p ̅]]*(1-Table110[[#This Row],[p ̅]]))</f>
        <v>0.16586650097670835</v>
      </c>
      <c r="G4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4.0040672019072243E-2</v>
      </c>
      <c r="R4" s="13">
        <v>3</v>
      </c>
      <c r="S4" s="13">
        <v>1.0229999999999999</v>
      </c>
      <c r="T4" s="13">
        <v>1.954</v>
      </c>
      <c r="U4" s="13">
        <v>0</v>
      </c>
      <c r="V4" s="13">
        <v>2.5680000000000001</v>
      </c>
      <c r="W4" s="13">
        <v>0</v>
      </c>
      <c r="X4" s="13">
        <v>2.5739999999999998</v>
      </c>
    </row>
    <row r="5" spans="1:24" x14ac:dyDescent="0.3">
      <c r="A5" s="11">
        <v>4</v>
      </c>
      <c r="B5" s="11">
        <v>220</v>
      </c>
      <c r="C5" s="11">
        <v>22</v>
      </c>
      <c r="D5" s="21">
        <f>Table110[[#This Row],[pn]]/Table110[[#This Row],[n]]</f>
        <v>0.1</v>
      </c>
      <c r="E5" s="22">
        <f>Table110[[#Totals],[pn]]/Table110[[#Totals],[n]]</f>
        <v>0.1029535864978903</v>
      </c>
      <c r="F5" s="22">
        <f>Table110[[#This Row],[p ̅]]+3/SQRT(Table110[[#This Row],[n]])*SQRT(Table110[[#This Row],[p ̅]]*(1-Table110[[#This Row],[p ̅]]))</f>
        <v>0.16442003372821432</v>
      </c>
      <c r="G5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5" s="13">
        <v>4</v>
      </c>
      <c r="S5" s="13">
        <v>0.72899999999999998</v>
      </c>
      <c r="T5" s="13">
        <v>1.6279999999999999</v>
      </c>
      <c r="U5" s="13">
        <v>0</v>
      </c>
      <c r="V5" s="13">
        <v>2.266</v>
      </c>
      <c r="W5" s="13">
        <v>0</v>
      </c>
      <c r="X5" s="13">
        <v>2.282</v>
      </c>
    </row>
    <row r="6" spans="1:24" x14ac:dyDescent="0.3">
      <c r="A6" s="11">
        <v>5</v>
      </c>
      <c r="B6" s="11">
        <v>220</v>
      </c>
      <c r="C6" s="11">
        <v>18</v>
      </c>
      <c r="D6" s="21">
        <f>Table110[[#This Row],[pn]]/Table110[[#This Row],[n]]</f>
        <v>8.1818181818181818E-2</v>
      </c>
      <c r="E6" s="22">
        <f>Table110[[#Totals],[pn]]/Table110[[#Totals],[n]]</f>
        <v>0.1029535864978903</v>
      </c>
      <c r="F6" s="22">
        <f>Table110[[#This Row],[p ̅]]+3/SQRT(Table110[[#This Row],[n]])*SQRT(Table110[[#This Row],[p ̅]]*(1-Table110[[#This Row],[p ̅]]))</f>
        <v>0.16442003372821432</v>
      </c>
      <c r="G6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6" s="13">
        <v>5</v>
      </c>
      <c r="S6" s="13">
        <v>0.57699999999999996</v>
      </c>
      <c r="T6" s="13">
        <v>1.427</v>
      </c>
      <c r="U6" s="13">
        <v>0</v>
      </c>
      <c r="V6" s="13">
        <v>2.089</v>
      </c>
      <c r="W6" s="13">
        <v>0</v>
      </c>
      <c r="X6" s="13">
        <v>2.1139999999999999</v>
      </c>
    </row>
    <row r="7" spans="1:24" x14ac:dyDescent="0.3">
      <c r="A7" s="11">
        <v>6</v>
      </c>
      <c r="B7" s="11">
        <v>255</v>
      </c>
      <c r="C7" s="11">
        <v>15</v>
      </c>
      <c r="D7" s="21">
        <f>Table110[[#This Row],[pn]]/Table110[[#This Row],[n]]</f>
        <v>5.8823529411764705E-2</v>
      </c>
      <c r="E7" s="22">
        <f>Table110[[#Totals],[pn]]/Table110[[#Totals],[n]]</f>
        <v>0.1029535864978903</v>
      </c>
      <c r="F7" s="22">
        <f>Table110[[#This Row],[p ̅]]+3/SQRT(Table110[[#This Row],[n]])*SQRT(Table110[[#This Row],[p ̅]]*(1-Table110[[#This Row],[p ̅]]))</f>
        <v>0.16004612609245453</v>
      </c>
      <c r="G7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4.5861046903326062E-2</v>
      </c>
      <c r="R7" s="13">
        <v>6</v>
      </c>
      <c r="S7" s="13">
        <v>0.48299999999999998</v>
      </c>
      <c r="T7" s="13">
        <v>1.2869999999999999</v>
      </c>
      <c r="U7" s="13">
        <v>0.03</v>
      </c>
      <c r="V7" s="13">
        <v>1.97</v>
      </c>
      <c r="W7" s="13">
        <v>0</v>
      </c>
      <c r="X7" s="13">
        <v>2.004</v>
      </c>
    </row>
    <row r="8" spans="1:24" x14ac:dyDescent="0.3">
      <c r="A8" s="11">
        <v>7</v>
      </c>
      <c r="B8" s="11">
        <v>440</v>
      </c>
      <c r="C8" s="11">
        <v>44</v>
      </c>
      <c r="D8" s="21">
        <f>Table110[[#This Row],[pn]]/Table110[[#This Row],[n]]</f>
        <v>0.1</v>
      </c>
      <c r="E8" s="22">
        <f>Table110[[#Totals],[pn]]/Table110[[#Totals],[n]]</f>
        <v>0.1029535864978903</v>
      </c>
      <c r="F8" s="22">
        <f>Table110[[#This Row],[p ̅]]+3/SQRT(Table110[[#This Row],[n]])*SQRT(Table110[[#This Row],[p ̅]]*(1-Table110[[#This Row],[p ̅]]))</f>
        <v>0.14641692814989749</v>
      </c>
      <c r="G8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5.9490244845883104E-2</v>
      </c>
      <c r="R8" s="13">
        <v>7</v>
      </c>
      <c r="S8" s="13">
        <v>0.41899999999999998</v>
      </c>
      <c r="T8" s="13">
        <v>1.1819999999999999</v>
      </c>
      <c r="U8" s="13">
        <v>0.11799999999999999</v>
      </c>
      <c r="V8" s="13">
        <v>1.8819999999999999</v>
      </c>
      <c r="W8" s="13">
        <v>7.5999999999999998E-2</v>
      </c>
      <c r="X8" s="13">
        <v>1.9239999999999999</v>
      </c>
    </row>
    <row r="9" spans="1:24" x14ac:dyDescent="0.3">
      <c r="A9" s="11">
        <v>8</v>
      </c>
      <c r="B9" s="11">
        <v>365</v>
      </c>
      <c r="C9" s="11">
        <v>47</v>
      </c>
      <c r="D9" s="21">
        <f>Table110[[#This Row],[pn]]/Table110[[#This Row],[n]]</f>
        <v>0.12876712328767123</v>
      </c>
      <c r="E9" s="22">
        <f>Table110[[#Totals],[pn]]/Table110[[#Totals],[n]]</f>
        <v>0.1029535864978903</v>
      </c>
      <c r="F9" s="22">
        <f>Table110[[#This Row],[p ̅]]+3/SQRT(Table110[[#This Row],[n]])*SQRT(Table110[[#This Row],[p ̅]]*(1-Table110[[#This Row],[p ̅]]))</f>
        <v>0.15067387050897563</v>
      </c>
      <c r="G9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5.5233302486804969E-2</v>
      </c>
      <c r="R9" s="13">
        <v>8</v>
      </c>
      <c r="S9" s="13">
        <v>0.373</v>
      </c>
      <c r="T9" s="13">
        <v>1.099</v>
      </c>
      <c r="U9" s="13">
        <v>0.185</v>
      </c>
      <c r="V9" s="13">
        <v>1.8149999999999999</v>
      </c>
      <c r="W9" s="13">
        <v>0.13600000000000001</v>
      </c>
      <c r="X9" s="13">
        <v>1.8640000000000001</v>
      </c>
    </row>
    <row r="10" spans="1:24" x14ac:dyDescent="0.3">
      <c r="A10" s="11">
        <v>9</v>
      </c>
      <c r="B10" s="11">
        <v>255</v>
      </c>
      <c r="C10" s="11">
        <v>13</v>
      </c>
      <c r="D10" s="21">
        <f>Table110[[#This Row],[pn]]/Table110[[#This Row],[n]]</f>
        <v>5.0980392156862744E-2</v>
      </c>
      <c r="E10" s="22">
        <f>Table110[[#Totals],[pn]]/Table110[[#Totals],[n]]</f>
        <v>0.1029535864978903</v>
      </c>
      <c r="F10" s="22">
        <f>Table110[[#This Row],[p ̅]]+3/SQRT(Table110[[#This Row],[n]])*SQRT(Table110[[#This Row],[p ̅]]*(1-Table110[[#This Row],[p ̅]]))</f>
        <v>0.16004612609245453</v>
      </c>
      <c r="G10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4.5861046903326062E-2</v>
      </c>
      <c r="R10" s="13">
        <v>9</v>
      </c>
      <c r="S10" s="13">
        <v>0.33700000000000002</v>
      </c>
      <c r="T10" s="13">
        <v>1.032</v>
      </c>
      <c r="U10" s="13">
        <v>0.23899999999999999</v>
      </c>
      <c r="V10" s="13">
        <v>1.7609999999999999</v>
      </c>
      <c r="W10" s="13">
        <v>0.184</v>
      </c>
      <c r="X10" s="13">
        <v>1.8160000000000001</v>
      </c>
    </row>
    <row r="11" spans="1:24" x14ac:dyDescent="0.3">
      <c r="A11" s="11">
        <v>10</v>
      </c>
      <c r="B11" s="11">
        <v>300</v>
      </c>
      <c r="C11" s="11">
        <v>33</v>
      </c>
      <c r="D11" s="21">
        <f>Table110[[#This Row],[pn]]/Table110[[#This Row],[n]]</f>
        <v>0.11</v>
      </c>
      <c r="E11" s="22">
        <f>Table110[[#Totals],[pn]]/Table110[[#Totals],[n]]</f>
        <v>0.1029535864978903</v>
      </c>
      <c r="F11" s="22">
        <f>Table110[[#This Row],[p ̅]]+3/SQRT(Table110[[#This Row],[n]])*SQRT(Table110[[#This Row],[p ̅]]*(1-Table110[[#This Row],[p ̅]]))</f>
        <v>0.15559030719507422</v>
      </c>
      <c r="G11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5.0316865800706372E-2</v>
      </c>
      <c r="R11" s="13">
        <v>10</v>
      </c>
      <c r="S11" s="13">
        <v>0.308</v>
      </c>
      <c r="T11" s="13">
        <v>0.97499999999999998</v>
      </c>
      <c r="U11" s="13">
        <v>0.28399999999999997</v>
      </c>
      <c r="V11" s="13">
        <v>1.716</v>
      </c>
      <c r="W11" s="13">
        <v>0.223</v>
      </c>
      <c r="X11" s="13">
        <v>1.7769999999999999</v>
      </c>
    </row>
    <row r="12" spans="1:24" x14ac:dyDescent="0.3">
      <c r="A12" s="11">
        <v>11</v>
      </c>
      <c r="B12" s="11">
        <v>280</v>
      </c>
      <c r="C12" s="11">
        <v>42</v>
      </c>
      <c r="D12" s="21">
        <f>Table110[[#This Row],[pn]]/Table110[[#This Row],[n]]</f>
        <v>0.15</v>
      </c>
      <c r="E12" s="22">
        <f>Table110[[#Totals],[pn]]/Table110[[#Totals],[n]]</f>
        <v>0.1029535864978903</v>
      </c>
      <c r="F12" s="22">
        <f>Table110[[#This Row],[p ̅]]+3/SQRT(Table110[[#This Row],[n]])*SQRT(Table110[[#This Row],[p ̅]]*(1-Table110[[#This Row],[p ̅]]))</f>
        <v>0.15743776866266457</v>
      </c>
      <c r="G12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4.8469404333116042E-2</v>
      </c>
      <c r="R12" s="13">
        <v>11</v>
      </c>
      <c r="S12" s="13">
        <v>0.28499999999999998</v>
      </c>
      <c r="T12" s="13">
        <v>0.92700000000000005</v>
      </c>
      <c r="U12" s="13">
        <v>0.32100000000000001</v>
      </c>
      <c r="V12" s="13">
        <v>1.679</v>
      </c>
      <c r="W12" s="13">
        <v>0.25600000000000001</v>
      </c>
      <c r="X12" s="13">
        <v>1.744</v>
      </c>
    </row>
    <row r="13" spans="1:24" x14ac:dyDescent="0.3">
      <c r="A13" s="11">
        <v>12</v>
      </c>
      <c r="B13" s="11">
        <v>330</v>
      </c>
      <c r="C13" s="11">
        <v>46</v>
      </c>
      <c r="D13" s="21">
        <f>Table110[[#This Row],[pn]]/Table110[[#This Row],[n]]</f>
        <v>0.1393939393939394</v>
      </c>
      <c r="E13" s="22">
        <f>Table110[[#Totals],[pn]]/Table110[[#Totals],[n]]</f>
        <v>0.1029535864978903</v>
      </c>
      <c r="F13" s="22">
        <f>Table110[[#This Row],[p ̅]]+3/SQRT(Table110[[#This Row],[n]])*SQRT(Table110[[#This Row],[p ̅]]*(1-Table110[[#This Row],[p ̅]]))</f>
        <v>0.15314073050322435</v>
      </c>
      <c r="G13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5.2766442492556243E-2</v>
      </c>
      <c r="R13" s="13">
        <v>12</v>
      </c>
      <c r="S13" s="13">
        <v>0.26600000000000001</v>
      </c>
      <c r="T13" s="13">
        <v>0.88600000000000001</v>
      </c>
      <c r="U13" s="13">
        <v>0.35399999999999998</v>
      </c>
      <c r="V13" s="13">
        <v>1.6459999999999999</v>
      </c>
      <c r="W13" s="13">
        <v>0.28299999999999997</v>
      </c>
      <c r="X13" s="13">
        <v>1.7170000000000001</v>
      </c>
    </row>
    <row r="14" spans="1:24" x14ac:dyDescent="0.3">
      <c r="A14" s="11">
        <v>13</v>
      </c>
      <c r="B14" s="11">
        <v>320</v>
      </c>
      <c r="C14" s="11">
        <v>38</v>
      </c>
      <c r="D14" s="21">
        <f>Table110[[#This Row],[pn]]/Table110[[#This Row],[n]]</f>
        <v>0.11874999999999999</v>
      </c>
      <c r="E14" s="22">
        <f>Table110[[#Totals],[pn]]/Table110[[#Totals],[n]]</f>
        <v>0.1029535864978903</v>
      </c>
      <c r="F14" s="22">
        <f>Table110[[#This Row],[p ̅]]+3/SQRT(Table110[[#This Row],[n]])*SQRT(Table110[[#This Row],[p ̅]]*(1-Table110[[#This Row],[p ̅]]))</f>
        <v>0.15391887216268146</v>
      </c>
      <c r="G14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5.1988300833099139E-2</v>
      </c>
      <c r="R14" s="13">
        <v>13</v>
      </c>
      <c r="S14" s="13">
        <v>0.249</v>
      </c>
      <c r="T14" s="13">
        <v>0.85</v>
      </c>
      <c r="U14" s="13">
        <v>0.38200000000000001</v>
      </c>
      <c r="V14" s="13">
        <v>1.6180000000000001</v>
      </c>
      <c r="W14" s="13">
        <v>0.307</v>
      </c>
      <c r="X14" s="13">
        <v>1.6930000000000001</v>
      </c>
    </row>
    <row r="15" spans="1:24" x14ac:dyDescent="0.3">
      <c r="A15" s="11">
        <v>14</v>
      </c>
      <c r="B15" s="11">
        <v>225</v>
      </c>
      <c r="C15" s="11">
        <v>29</v>
      </c>
      <c r="D15" s="21">
        <f>Table110[[#This Row],[pn]]/Table110[[#This Row],[n]]</f>
        <v>0.12888888888888889</v>
      </c>
      <c r="E15" s="22">
        <f>Table110[[#Totals],[pn]]/Table110[[#Totals],[n]]</f>
        <v>0.1029535864978903</v>
      </c>
      <c r="F15" s="22">
        <f>Table110[[#This Row],[p ̅]]+3/SQRT(Table110[[#This Row],[n]])*SQRT(Table110[[#This Row],[p ̅]]*(1-Table110[[#This Row],[p ̅]]))</f>
        <v>0.16373323622544689</v>
      </c>
      <c r="G15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4.2173936770333709E-2</v>
      </c>
      <c r="R15" s="13">
        <v>14</v>
      </c>
      <c r="S15" s="13">
        <v>0.23499999999999999</v>
      </c>
      <c r="T15" s="13">
        <v>0.81699999999999995</v>
      </c>
      <c r="U15" s="13">
        <v>0.40600000000000003</v>
      </c>
      <c r="V15" s="13">
        <v>1.5940000000000001</v>
      </c>
      <c r="W15" s="13">
        <v>0.32800000000000001</v>
      </c>
      <c r="X15" s="13">
        <v>1.6719999999999999</v>
      </c>
    </row>
    <row r="16" spans="1:24" x14ac:dyDescent="0.3">
      <c r="A16" s="11">
        <v>15</v>
      </c>
      <c r="B16" s="11">
        <v>290</v>
      </c>
      <c r="C16" s="11">
        <v>26</v>
      </c>
      <c r="D16" s="21">
        <f>Table110[[#This Row],[pn]]/Table110[[#This Row],[n]]</f>
        <v>8.9655172413793102E-2</v>
      </c>
      <c r="E16" s="22">
        <f>Table110[[#Totals],[pn]]/Table110[[#Totals],[n]]</f>
        <v>0.1029535864978903</v>
      </c>
      <c r="F16" s="22">
        <f>Table110[[#This Row],[p ̅]]+3/SQRT(Table110[[#This Row],[n]])*SQRT(Table110[[#This Row],[p ̅]]*(1-Table110[[#This Row],[p ̅]]))</f>
        <v>0.15649014538045414</v>
      </c>
      <c r="G16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4.9417027615326459E-2</v>
      </c>
      <c r="R16" s="13">
        <v>15</v>
      </c>
      <c r="S16" s="13">
        <v>0.223</v>
      </c>
      <c r="T16" s="13">
        <v>0.78900000000000003</v>
      </c>
      <c r="U16" s="13">
        <v>0.42799999999999999</v>
      </c>
      <c r="V16" s="13">
        <v>1.5720000000000001</v>
      </c>
      <c r="W16" s="13">
        <v>0.34699999999999998</v>
      </c>
      <c r="X16" s="13">
        <v>1.653</v>
      </c>
    </row>
    <row r="17" spans="1:24" x14ac:dyDescent="0.3">
      <c r="A17" s="11">
        <v>16</v>
      </c>
      <c r="B17" s="11">
        <v>170</v>
      </c>
      <c r="C17" s="11">
        <v>17</v>
      </c>
      <c r="D17" s="21">
        <f>Table110[[#This Row],[pn]]/Table110[[#This Row],[n]]</f>
        <v>0.1</v>
      </c>
      <c r="E17" s="22">
        <f>Table110[[#Totals],[pn]]/Table110[[#Totals],[n]]</f>
        <v>0.1029535864978903</v>
      </c>
      <c r="F17" s="22">
        <f>Table110[[#This Row],[p ̅]]+3/SQRT(Table110[[#This Row],[n]])*SQRT(Table110[[#This Row],[p ̅]]*(1-Table110[[#This Row],[p ̅]]))</f>
        <v>0.17287738156105406</v>
      </c>
      <c r="G17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3.3029791434726535E-2</v>
      </c>
      <c r="R17" s="13">
        <v>16</v>
      </c>
      <c r="S17" s="13">
        <v>0.21199999999999999</v>
      </c>
      <c r="T17" s="13">
        <v>0.76300000000000001</v>
      </c>
      <c r="U17" s="13">
        <v>0.44800000000000001</v>
      </c>
      <c r="V17" s="13">
        <v>1.552</v>
      </c>
      <c r="W17" s="13">
        <v>0.36299999999999999</v>
      </c>
      <c r="X17" s="13">
        <v>1.637</v>
      </c>
    </row>
    <row r="18" spans="1:24" x14ac:dyDescent="0.3">
      <c r="A18" s="11">
        <v>17</v>
      </c>
      <c r="B18" s="11">
        <v>65</v>
      </c>
      <c r="C18" s="11">
        <v>5</v>
      </c>
      <c r="D18" s="21">
        <f>Table110[[#This Row],[pn]]/Table110[[#This Row],[n]]</f>
        <v>7.6923076923076927E-2</v>
      </c>
      <c r="E18" s="22">
        <f>Table110[[#Totals],[pn]]/Table110[[#Totals],[n]]</f>
        <v>0.1029535864978903</v>
      </c>
      <c r="F18" s="22">
        <f>Table110[[#This Row],[p ̅]]+3/SQRT(Table110[[#This Row],[n]])*SQRT(Table110[[#This Row],[p ̅]]*(1-Table110[[#This Row],[p ̅]]))</f>
        <v>0.21603540233362833</v>
      </c>
      <c r="G18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0</v>
      </c>
      <c r="R18" s="13">
        <v>17</v>
      </c>
      <c r="S18" s="13">
        <v>0.20300000000000001</v>
      </c>
      <c r="T18" s="13">
        <v>0.73899999999999999</v>
      </c>
      <c r="U18" s="13">
        <v>0.46600000000000003</v>
      </c>
      <c r="V18" s="13">
        <v>1.534</v>
      </c>
      <c r="W18" s="13">
        <v>0.378</v>
      </c>
      <c r="X18" s="13">
        <v>1.6220000000000001</v>
      </c>
    </row>
    <row r="19" spans="1:24" x14ac:dyDescent="0.3">
      <c r="A19" s="11">
        <v>18</v>
      </c>
      <c r="B19" s="11">
        <v>100</v>
      </c>
      <c r="C19" s="11">
        <v>7</v>
      </c>
      <c r="D19" s="21">
        <f>Table110[[#This Row],[pn]]/Table110[[#This Row],[n]]</f>
        <v>7.0000000000000007E-2</v>
      </c>
      <c r="E19" s="22">
        <f>Table110[[#Totals],[pn]]/Table110[[#Totals],[n]]</f>
        <v>0.1029535864978903</v>
      </c>
      <c r="F19" s="22">
        <f>Table110[[#This Row],[p ̅]]+3/SQRT(Table110[[#This Row],[n]])*SQRT(Table110[[#This Row],[p ̅]]*(1-Table110[[#This Row],[p ̅]]))</f>
        <v>0.19412306108922517</v>
      </c>
      <c r="G19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1.1784111906555428E-2</v>
      </c>
      <c r="R19" s="13">
        <v>18</v>
      </c>
      <c r="S19" s="13">
        <v>0.19400000000000001</v>
      </c>
      <c r="T19" s="13">
        <v>0.71799999999999997</v>
      </c>
      <c r="U19" s="13">
        <v>0.48199999999999998</v>
      </c>
      <c r="V19" s="13">
        <v>1.518</v>
      </c>
      <c r="W19" s="13">
        <v>0.39100000000000001</v>
      </c>
      <c r="X19" s="13">
        <v>1.6080000000000001</v>
      </c>
    </row>
    <row r="20" spans="1:24" x14ac:dyDescent="0.3">
      <c r="A20" s="11">
        <v>19</v>
      </c>
      <c r="B20" s="11">
        <v>135</v>
      </c>
      <c r="C20" s="11">
        <v>14</v>
      </c>
      <c r="D20" s="21">
        <f>Table110[[#This Row],[pn]]/Table110[[#This Row],[n]]</f>
        <v>0.1037037037037037</v>
      </c>
      <c r="E20" s="22">
        <f>Table110[[#Totals],[pn]]/Table110[[#Totals],[n]]</f>
        <v>0.1029535864978903</v>
      </c>
      <c r="F20" s="22">
        <f>Table110[[#This Row],[p ̅]]+3/SQRT(Table110[[#This Row],[n]])*SQRT(Table110[[#This Row],[p ̅]]*(1-Table110[[#This Row],[p ̅]]))</f>
        <v>0.18141977689227257</v>
      </c>
      <c r="G20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2.4487396103508016E-2</v>
      </c>
      <c r="R20" s="13">
        <v>19</v>
      </c>
      <c r="S20" s="13">
        <v>0.187</v>
      </c>
      <c r="T20" s="13">
        <v>0.69799999999999995</v>
      </c>
      <c r="U20" s="13">
        <v>0.497</v>
      </c>
      <c r="V20" s="13">
        <v>1.5029999999999999</v>
      </c>
      <c r="W20" s="13">
        <v>0.40300000000000002</v>
      </c>
      <c r="X20" s="13">
        <v>1.597</v>
      </c>
    </row>
    <row r="21" spans="1:24" x14ac:dyDescent="0.3">
      <c r="A21" s="11">
        <v>20</v>
      </c>
      <c r="B21" s="11">
        <v>280</v>
      </c>
      <c r="C21" s="11">
        <v>36</v>
      </c>
      <c r="D21" s="21">
        <f>Table110[[#This Row],[pn]]/Table110[[#This Row],[n]]</f>
        <v>0.12857142857142856</v>
      </c>
      <c r="E21" s="22">
        <f>Table110[[#Totals],[pn]]/Table110[[#Totals],[n]]</f>
        <v>0.1029535864978903</v>
      </c>
      <c r="F21" s="22">
        <f>Table110[[#This Row],[p ̅]]+3/SQRT(Table110[[#This Row],[n]])*SQRT(Table110[[#This Row],[p ̅]]*(1-Table110[[#This Row],[p ̅]]))</f>
        <v>0.15743776866266457</v>
      </c>
      <c r="G21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4.8469404333116042E-2</v>
      </c>
      <c r="R21" s="13">
        <v>20</v>
      </c>
      <c r="S21" s="13">
        <v>0.18</v>
      </c>
      <c r="T21" s="13">
        <v>0.68</v>
      </c>
      <c r="U21" s="13">
        <v>0.51</v>
      </c>
      <c r="V21" s="13">
        <v>1.49</v>
      </c>
      <c r="W21" s="13">
        <v>0.41499999999999998</v>
      </c>
      <c r="X21" s="13">
        <v>1.585</v>
      </c>
    </row>
    <row r="22" spans="1:24" x14ac:dyDescent="0.3">
      <c r="A22" s="11">
        <v>21</v>
      </c>
      <c r="B22" s="11">
        <v>250</v>
      </c>
      <c r="C22" s="11">
        <v>25</v>
      </c>
      <c r="D22" s="21">
        <f>Table110[[#This Row],[pn]]/Table110[[#This Row],[n]]</f>
        <v>0.1</v>
      </c>
      <c r="E22" s="22">
        <f>Table110[[#Totals],[pn]]/Table110[[#Totals],[n]]</f>
        <v>0.1029535864978903</v>
      </c>
      <c r="F22" s="22">
        <f>Table110[[#This Row],[p ̅]]+3/SQRT(Table110[[#This Row],[n]])*SQRT(Table110[[#This Row],[p ̅]]*(1-Table110[[#This Row],[p ̅]]))</f>
        <v>0.16061422505578371</v>
      </c>
      <c r="G22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4.52929479399969E-2</v>
      </c>
      <c r="R22" s="13">
        <v>21</v>
      </c>
      <c r="S22" s="13">
        <v>0.17299999999999999</v>
      </c>
      <c r="T22" s="13">
        <v>0.66300000000000003</v>
      </c>
      <c r="U22" s="13">
        <v>0.52300000000000002</v>
      </c>
      <c r="V22" s="13">
        <v>1.4770000000000001</v>
      </c>
      <c r="W22" s="13">
        <v>0.42499999999999999</v>
      </c>
      <c r="X22" s="13">
        <v>1.575</v>
      </c>
    </row>
    <row r="23" spans="1:24" x14ac:dyDescent="0.3">
      <c r="A23" s="11">
        <v>22</v>
      </c>
      <c r="B23" s="11">
        <v>220</v>
      </c>
      <c r="C23" s="11">
        <v>24</v>
      </c>
      <c r="D23" s="21">
        <f>Table110[[#This Row],[pn]]/Table110[[#This Row],[n]]</f>
        <v>0.10909090909090909</v>
      </c>
      <c r="E23" s="22">
        <f>Table110[[#Totals],[pn]]/Table110[[#Totals],[n]]</f>
        <v>0.1029535864978903</v>
      </c>
      <c r="F23" s="22">
        <f>Table110[[#This Row],[p ̅]]+3/SQRT(Table110[[#This Row],[n]])*SQRT(Table110[[#This Row],[p ̅]]*(1-Table110[[#This Row],[p ̅]]))</f>
        <v>0.16442003372821432</v>
      </c>
      <c r="G23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23" s="13">
        <v>22</v>
      </c>
      <c r="S23" s="13">
        <v>0.16700000000000001</v>
      </c>
      <c r="T23" s="13">
        <v>0.64700000000000002</v>
      </c>
      <c r="U23" s="13">
        <v>0.53400000000000003</v>
      </c>
      <c r="V23" s="13">
        <v>1.466</v>
      </c>
      <c r="W23" s="13">
        <v>0.434</v>
      </c>
      <c r="X23" s="13">
        <v>1.5660000000000001</v>
      </c>
    </row>
    <row r="24" spans="1:24" x14ac:dyDescent="0.3">
      <c r="A24" s="11">
        <v>23</v>
      </c>
      <c r="B24" s="11">
        <v>220</v>
      </c>
      <c r="C24" s="11">
        <v>20</v>
      </c>
      <c r="D24" s="21">
        <f>Table110[[#This Row],[pn]]/Table110[[#This Row],[n]]</f>
        <v>9.0909090909090912E-2</v>
      </c>
      <c r="E24" s="22">
        <f>Table110[[#Totals],[pn]]/Table110[[#Totals],[n]]</f>
        <v>0.1029535864978903</v>
      </c>
      <c r="F24" s="22">
        <f>Table110[[#This Row],[p ̅]]+3/SQRT(Table110[[#This Row],[n]])*SQRT(Table110[[#This Row],[p ̅]]*(1-Table110[[#This Row],[p ̅]]))</f>
        <v>0.16442003372821432</v>
      </c>
      <c r="G24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24" s="13">
        <v>23</v>
      </c>
      <c r="S24" s="13">
        <v>0.16200000000000001</v>
      </c>
      <c r="T24" s="13">
        <v>0.63300000000000001</v>
      </c>
      <c r="U24" s="13">
        <v>0.54500000000000004</v>
      </c>
      <c r="V24" s="13">
        <v>1.4550000000000001</v>
      </c>
      <c r="W24" s="13">
        <v>0.443</v>
      </c>
      <c r="X24" s="13">
        <v>1.5569999999999999</v>
      </c>
    </row>
    <row r="25" spans="1:24" x14ac:dyDescent="0.3">
      <c r="A25" s="11">
        <v>24</v>
      </c>
      <c r="B25" s="11">
        <v>220</v>
      </c>
      <c r="C25" s="11">
        <v>15</v>
      </c>
      <c r="D25" s="21">
        <f>Table110[[#This Row],[pn]]/Table110[[#This Row],[n]]</f>
        <v>6.8181818181818177E-2</v>
      </c>
      <c r="E25" s="22">
        <f>Table110[[#Totals],[pn]]/Table110[[#Totals],[n]]</f>
        <v>0.1029535864978903</v>
      </c>
      <c r="F25" s="22">
        <f>Table110[[#This Row],[p ̅]]+3/SQRT(Table110[[#This Row],[n]])*SQRT(Table110[[#This Row],[p ̅]]*(1-Table110[[#This Row],[p ̅]]))</f>
        <v>0.16442003372821432</v>
      </c>
      <c r="G25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25" s="13">
        <v>24</v>
      </c>
      <c r="S25" s="13">
        <v>0.157</v>
      </c>
      <c r="T25" s="13">
        <v>0.61899999999999999</v>
      </c>
      <c r="U25" s="13">
        <v>0.55500000000000005</v>
      </c>
      <c r="V25" s="13">
        <v>1.4450000000000001</v>
      </c>
      <c r="W25" s="13">
        <v>0.45100000000000001</v>
      </c>
      <c r="X25" s="13">
        <v>1.548</v>
      </c>
    </row>
    <row r="26" spans="1:24" x14ac:dyDescent="0.3">
      <c r="A26" s="11">
        <v>25</v>
      </c>
      <c r="B26" s="11">
        <v>220</v>
      </c>
      <c r="C26" s="11">
        <v>18</v>
      </c>
      <c r="D26" s="21">
        <f>Table110[[#This Row],[pn]]/Table110[[#This Row],[n]]</f>
        <v>8.1818181818181818E-2</v>
      </c>
      <c r="E26" s="22">
        <f>Table110[[#Totals],[pn]]/Table110[[#Totals],[n]]</f>
        <v>0.1029535864978903</v>
      </c>
      <c r="F26" s="22">
        <f>Table110[[#This Row],[p ̅]]+3/SQRT(Table110[[#This Row],[n]])*SQRT(Table110[[#This Row],[p ̅]]*(1-Table110[[#This Row],[p ̅]]))</f>
        <v>0.16442003372821432</v>
      </c>
      <c r="G26" s="22">
        <f>IF(Table110[[#This Row],[p ̅]]-3/SQRT(Table110[[#This Row],[n]])*SQRT(Table110[[#This Row],[p ̅]]*(1-Table110[[#This Row],[p ̅]]))&lt;0,0,Table110[[#This Row],[p ̅]]-3/SQRT(Table110[[#This Row],[n]])*SQRT(Table110[[#This Row],[p ̅]]*(1-Table110[[#This Row],[p ̅]])))</f>
        <v>4.1487139267566281E-2</v>
      </c>
      <c r="R26" s="13">
        <v>25</v>
      </c>
      <c r="S26" s="13">
        <v>0.153</v>
      </c>
      <c r="T26" s="13">
        <v>0.60599999999999998</v>
      </c>
      <c r="U26" s="13">
        <v>0.56499999999999995</v>
      </c>
      <c r="V26" s="13">
        <v>1.4350000000000001</v>
      </c>
      <c r="W26" s="13">
        <v>0.45900000000000002</v>
      </c>
      <c r="X26" s="13">
        <v>1.5409999999999999</v>
      </c>
    </row>
    <row r="27" spans="1:24" x14ac:dyDescent="0.3">
      <c r="A27" s="18" t="s">
        <v>31</v>
      </c>
      <c r="B27" s="19">
        <f>SUBTOTAL(109,Table110[n])</f>
        <v>5925</v>
      </c>
      <c r="C27" s="19">
        <f>SUBTOTAL(109,Table110[pn])</f>
        <v>610</v>
      </c>
      <c r="D27" s="20"/>
      <c r="E27" s="20"/>
      <c r="F27" s="20"/>
      <c r="G27" s="20"/>
    </row>
  </sheetData>
  <mergeCells count="4">
    <mergeCell ref="R1:R2"/>
    <mergeCell ref="S1:T1"/>
    <mergeCell ref="U1:V1"/>
    <mergeCell ref="W1:X1"/>
  </mergeCells>
  <phoneticPr fontId="8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F6BE-A01E-4844-9AA5-9FB762BE2490}">
  <sheetPr codeName="Sheet11"/>
  <dimension ref="A1:X97"/>
  <sheetViews>
    <sheetView zoomScale="112" zoomScaleNormal="115" workbookViewId="0">
      <selection activeCell="B7" sqref="B7"/>
    </sheetView>
  </sheetViews>
  <sheetFormatPr defaultColWidth="9.109375" defaultRowHeight="15.6" x14ac:dyDescent="0.3"/>
  <cols>
    <col min="1" max="7" width="22.88671875" style="11" customWidth="1"/>
    <col min="8" max="10" width="9.109375" style="10"/>
    <col min="11" max="11" width="20.88671875" style="10" bestFit="1" customWidth="1"/>
    <col min="12" max="12" width="4.5546875" style="10" bestFit="1" customWidth="1"/>
    <col min="13" max="13" width="19.109375" style="10" bestFit="1" customWidth="1"/>
    <col min="14" max="15" width="13.88671875" style="10" bestFit="1" customWidth="1"/>
    <col min="16" max="16" width="20.88671875" style="10" bestFit="1" customWidth="1"/>
    <col min="17" max="17" width="0.5546875" style="10" customWidth="1"/>
    <col min="18" max="18" width="18.5546875" style="10" customWidth="1"/>
    <col min="19" max="16384" width="9.109375" style="10"/>
  </cols>
  <sheetData>
    <row r="1" spans="1:24" ht="19.5" customHeight="1" thickBot="1" x14ac:dyDescent="0.35">
      <c r="A1" s="5" t="s">
        <v>32</v>
      </c>
      <c r="B1" s="6" t="s">
        <v>73</v>
      </c>
      <c r="C1" s="6" t="s">
        <v>74</v>
      </c>
      <c r="D1" s="5" t="s">
        <v>76</v>
      </c>
      <c r="E1" s="5" t="s">
        <v>79</v>
      </c>
      <c r="F1" s="5" t="s">
        <v>77</v>
      </c>
      <c r="G1" s="5" t="s">
        <v>78</v>
      </c>
      <c r="H1" s="8"/>
      <c r="I1" s="9"/>
      <c r="R1" s="46" t="s">
        <v>47</v>
      </c>
      <c r="S1" s="48" t="s">
        <v>48</v>
      </c>
      <c r="T1" s="49"/>
      <c r="U1" s="48" t="s">
        <v>49</v>
      </c>
      <c r="V1" s="49"/>
      <c r="W1" s="48" t="s">
        <v>39</v>
      </c>
      <c r="X1" s="49"/>
    </row>
    <row r="2" spans="1:24" x14ac:dyDescent="0.3">
      <c r="A2" s="11">
        <v>1</v>
      </c>
      <c r="B2" s="11">
        <v>100</v>
      </c>
      <c r="C2" s="11">
        <v>1</v>
      </c>
      <c r="D2" s="24">
        <f>Table11011[[#Totals],[pn]]/Table11011[[#Totals],[n]]</f>
        <v>4.2999999999999997E-2</v>
      </c>
      <c r="E2" s="23">
        <f>Table11011[[#This Row],[p ̅]]*Table11011[[#This Row],[n]]</f>
        <v>4.3</v>
      </c>
      <c r="F2" s="23">
        <f>Table11011[[#This Row],[p ̅n]]+3*SQRT(Table11011[[#This Row],[p ̅n]])*SQRT(1-Table11011[[#This Row],[p ̅]])</f>
        <v>10.385712776659771</v>
      </c>
      <c r="G2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H2" s="8" t="s">
        <v>50</v>
      </c>
      <c r="I2" s="9">
        <f>COUNT(A:A)</f>
        <v>30</v>
      </c>
      <c r="R2" s="47"/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</row>
    <row r="3" spans="1:24" x14ac:dyDescent="0.3">
      <c r="A3" s="11">
        <v>2</v>
      </c>
      <c r="B3" s="11">
        <v>100</v>
      </c>
      <c r="C3" s="11">
        <v>6</v>
      </c>
      <c r="D3" s="24">
        <f>Table11011[[#Totals],[pn]]/Table11011[[#Totals],[n]]</f>
        <v>4.2999999999999997E-2</v>
      </c>
      <c r="E3" s="23">
        <f>Table11011[[#This Row],[p ̅]]*Table11011[[#This Row],[n]]</f>
        <v>4.3</v>
      </c>
      <c r="F3" s="23">
        <f>Table11011[[#This Row],[p ̅n]]+3*SQRT(Table11011[[#This Row],[p ̅n]])*SQRT(1-Table11011[[#This Row],[p ̅]])</f>
        <v>10.385712776659771</v>
      </c>
      <c r="G3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H3" s="8" t="s">
        <v>76</v>
      </c>
      <c r="R3" s="13" t="s">
        <v>57</v>
      </c>
      <c r="S3" s="13">
        <v>1.88</v>
      </c>
      <c r="T3" s="13">
        <v>2.6589999999999998</v>
      </c>
      <c r="U3" s="13">
        <v>0</v>
      </c>
      <c r="V3" s="13">
        <v>3.2669999999999999</v>
      </c>
      <c r="W3" s="13">
        <v>0</v>
      </c>
      <c r="X3" s="13">
        <v>3.2669999999999999</v>
      </c>
    </row>
    <row r="4" spans="1:24" x14ac:dyDescent="0.3">
      <c r="A4" s="11">
        <v>3</v>
      </c>
      <c r="B4" s="11">
        <v>100</v>
      </c>
      <c r="C4" s="11">
        <v>5</v>
      </c>
      <c r="D4" s="24">
        <f>Table11011[[#Totals],[pn]]/Table11011[[#Totals],[n]]</f>
        <v>4.2999999999999997E-2</v>
      </c>
      <c r="E4" s="23">
        <f>Table11011[[#This Row],[p ̅]]*Table11011[[#This Row],[n]]</f>
        <v>4.3</v>
      </c>
      <c r="F4" s="23">
        <f>Table11011[[#This Row],[p ̅n]]+3*SQRT(Table11011[[#This Row],[p ̅n]])*SQRT(1-Table11011[[#This Row],[p ̅]])</f>
        <v>10.385712776659771</v>
      </c>
      <c r="G4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4" s="13">
        <v>3</v>
      </c>
      <c r="S4" s="13">
        <v>1.0229999999999999</v>
      </c>
      <c r="T4" s="13">
        <v>1.954</v>
      </c>
      <c r="U4" s="13">
        <v>0</v>
      </c>
      <c r="V4" s="13">
        <v>2.5680000000000001</v>
      </c>
      <c r="W4" s="13">
        <v>0</v>
      </c>
      <c r="X4" s="13">
        <v>2.5739999999999998</v>
      </c>
    </row>
    <row r="5" spans="1:24" x14ac:dyDescent="0.3">
      <c r="A5" s="11">
        <v>4</v>
      </c>
      <c r="B5" s="11">
        <v>100</v>
      </c>
      <c r="C5" s="11">
        <v>5</v>
      </c>
      <c r="D5" s="24">
        <f>Table11011[[#Totals],[pn]]/Table11011[[#Totals],[n]]</f>
        <v>4.2999999999999997E-2</v>
      </c>
      <c r="E5" s="23">
        <f>Table11011[[#This Row],[p ̅]]*Table11011[[#This Row],[n]]</f>
        <v>4.3</v>
      </c>
      <c r="F5" s="23">
        <f>Table11011[[#This Row],[p ̅n]]+3*SQRT(Table11011[[#This Row],[p ̅n]])*SQRT(1-Table11011[[#This Row],[p ̅]])</f>
        <v>10.385712776659771</v>
      </c>
      <c r="G5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5" s="13">
        <v>4</v>
      </c>
      <c r="S5" s="13">
        <v>0.72899999999999998</v>
      </c>
      <c r="T5" s="13">
        <v>1.6279999999999999</v>
      </c>
      <c r="U5" s="13">
        <v>0</v>
      </c>
      <c r="V5" s="13">
        <v>2.266</v>
      </c>
      <c r="W5" s="13">
        <v>0</v>
      </c>
      <c r="X5" s="13">
        <v>2.282</v>
      </c>
    </row>
    <row r="6" spans="1:24" x14ac:dyDescent="0.3">
      <c r="A6" s="11">
        <v>5</v>
      </c>
      <c r="B6" s="11">
        <v>100</v>
      </c>
      <c r="C6" s="11">
        <v>4</v>
      </c>
      <c r="D6" s="24">
        <f>Table11011[[#Totals],[pn]]/Table11011[[#Totals],[n]]</f>
        <v>4.2999999999999997E-2</v>
      </c>
      <c r="E6" s="23">
        <f>Table11011[[#This Row],[p ̅]]*Table11011[[#This Row],[n]]</f>
        <v>4.3</v>
      </c>
      <c r="F6" s="23">
        <f>Table11011[[#This Row],[p ̅n]]+3*SQRT(Table11011[[#This Row],[p ̅n]])*SQRT(1-Table11011[[#This Row],[p ̅]])</f>
        <v>10.385712776659771</v>
      </c>
      <c r="G6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6" s="13">
        <v>5</v>
      </c>
      <c r="S6" s="13">
        <v>0.57699999999999996</v>
      </c>
      <c r="T6" s="13">
        <v>1.427</v>
      </c>
      <c r="U6" s="13">
        <v>0</v>
      </c>
      <c r="V6" s="13">
        <v>2.089</v>
      </c>
      <c r="W6" s="13">
        <v>0</v>
      </c>
      <c r="X6" s="13">
        <v>2.1139999999999999</v>
      </c>
    </row>
    <row r="7" spans="1:24" x14ac:dyDescent="0.3">
      <c r="A7" s="11">
        <v>6</v>
      </c>
      <c r="B7" s="11">
        <v>100</v>
      </c>
      <c r="C7" s="11">
        <v>3</v>
      </c>
      <c r="D7" s="24">
        <f>Table11011[[#Totals],[pn]]/Table11011[[#Totals],[n]]</f>
        <v>4.2999999999999997E-2</v>
      </c>
      <c r="E7" s="23">
        <f>Table11011[[#This Row],[p ̅]]*Table11011[[#This Row],[n]]</f>
        <v>4.3</v>
      </c>
      <c r="F7" s="23">
        <f>Table11011[[#This Row],[p ̅n]]+3*SQRT(Table11011[[#This Row],[p ̅n]])*SQRT(1-Table11011[[#This Row],[p ̅]])</f>
        <v>10.385712776659771</v>
      </c>
      <c r="G7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7" s="13">
        <v>6</v>
      </c>
      <c r="S7" s="13">
        <v>0.48299999999999998</v>
      </c>
      <c r="T7" s="13">
        <v>1.2869999999999999</v>
      </c>
      <c r="U7" s="13">
        <v>0.03</v>
      </c>
      <c r="V7" s="13">
        <v>1.97</v>
      </c>
      <c r="W7" s="13">
        <v>0</v>
      </c>
      <c r="X7" s="13">
        <v>2.004</v>
      </c>
    </row>
    <row r="8" spans="1:24" x14ac:dyDescent="0.3">
      <c r="A8" s="11">
        <v>7</v>
      </c>
      <c r="B8" s="11">
        <v>100</v>
      </c>
      <c r="C8" s="11">
        <v>2</v>
      </c>
      <c r="D8" s="24">
        <f>Table11011[[#Totals],[pn]]/Table11011[[#Totals],[n]]</f>
        <v>4.2999999999999997E-2</v>
      </c>
      <c r="E8" s="23">
        <f>Table11011[[#This Row],[p ̅]]*Table11011[[#This Row],[n]]</f>
        <v>4.3</v>
      </c>
      <c r="F8" s="23">
        <f>Table11011[[#This Row],[p ̅n]]+3*SQRT(Table11011[[#This Row],[p ̅n]])*SQRT(1-Table11011[[#This Row],[p ̅]])</f>
        <v>10.385712776659771</v>
      </c>
      <c r="G8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8" s="13">
        <v>7</v>
      </c>
      <c r="S8" s="13">
        <v>0.41899999999999998</v>
      </c>
      <c r="T8" s="13">
        <v>1.1819999999999999</v>
      </c>
      <c r="U8" s="13">
        <v>0.11799999999999999</v>
      </c>
      <c r="V8" s="13">
        <v>1.8819999999999999</v>
      </c>
      <c r="W8" s="13">
        <v>7.5999999999999998E-2</v>
      </c>
      <c r="X8" s="13">
        <v>1.9239999999999999</v>
      </c>
    </row>
    <row r="9" spans="1:24" x14ac:dyDescent="0.3">
      <c r="A9" s="11">
        <v>8</v>
      </c>
      <c r="B9" s="11">
        <v>100</v>
      </c>
      <c r="C9" s="11">
        <v>2</v>
      </c>
      <c r="D9" s="24">
        <f>Table11011[[#Totals],[pn]]/Table11011[[#Totals],[n]]</f>
        <v>4.2999999999999997E-2</v>
      </c>
      <c r="E9" s="23">
        <f>Table11011[[#This Row],[p ̅]]*Table11011[[#This Row],[n]]</f>
        <v>4.3</v>
      </c>
      <c r="F9" s="23">
        <f>Table11011[[#This Row],[p ̅n]]+3*SQRT(Table11011[[#This Row],[p ̅n]])*SQRT(1-Table11011[[#This Row],[p ̅]])</f>
        <v>10.385712776659771</v>
      </c>
      <c r="G9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9" s="13">
        <v>8</v>
      </c>
      <c r="S9" s="13">
        <v>0.373</v>
      </c>
      <c r="T9" s="13">
        <v>1.099</v>
      </c>
      <c r="U9" s="13">
        <v>0.185</v>
      </c>
      <c r="V9" s="13">
        <v>1.8149999999999999</v>
      </c>
      <c r="W9" s="13">
        <v>0.13600000000000001</v>
      </c>
      <c r="X9" s="13">
        <v>1.8640000000000001</v>
      </c>
    </row>
    <row r="10" spans="1:24" x14ac:dyDescent="0.3">
      <c r="A10" s="11">
        <v>9</v>
      </c>
      <c r="B10" s="11">
        <v>100</v>
      </c>
      <c r="C10" s="11">
        <v>4</v>
      </c>
      <c r="D10" s="24">
        <f>Table11011[[#Totals],[pn]]/Table11011[[#Totals],[n]]</f>
        <v>4.2999999999999997E-2</v>
      </c>
      <c r="E10" s="23">
        <f>Table11011[[#This Row],[p ̅]]*Table11011[[#This Row],[n]]</f>
        <v>4.3</v>
      </c>
      <c r="F10" s="23">
        <f>Table11011[[#This Row],[p ̅n]]+3*SQRT(Table11011[[#This Row],[p ̅n]])*SQRT(1-Table11011[[#This Row],[p ̅]])</f>
        <v>10.385712776659771</v>
      </c>
      <c r="G10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0" s="13">
        <v>9</v>
      </c>
      <c r="S10" s="13">
        <v>0.33700000000000002</v>
      </c>
      <c r="T10" s="13">
        <v>1.032</v>
      </c>
      <c r="U10" s="13">
        <v>0.23899999999999999</v>
      </c>
      <c r="V10" s="13">
        <v>1.7609999999999999</v>
      </c>
      <c r="W10" s="13">
        <v>0.184</v>
      </c>
      <c r="X10" s="13">
        <v>1.8160000000000001</v>
      </c>
    </row>
    <row r="11" spans="1:24" x14ac:dyDescent="0.3">
      <c r="A11" s="11">
        <v>10</v>
      </c>
      <c r="B11" s="11">
        <v>100</v>
      </c>
      <c r="C11" s="11">
        <v>6</v>
      </c>
      <c r="D11" s="24">
        <f>Table11011[[#Totals],[pn]]/Table11011[[#Totals],[n]]</f>
        <v>4.2999999999999997E-2</v>
      </c>
      <c r="E11" s="23">
        <f>Table11011[[#This Row],[p ̅]]*Table11011[[#This Row],[n]]</f>
        <v>4.3</v>
      </c>
      <c r="F11" s="23">
        <f>Table11011[[#This Row],[p ̅n]]+3*SQRT(Table11011[[#This Row],[p ̅n]])*SQRT(1-Table11011[[#This Row],[p ̅]])</f>
        <v>10.385712776659771</v>
      </c>
      <c r="G11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1" s="13">
        <v>10</v>
      </c>
      <c r="S11" s="13">
        <v>0.308</v>
      </c>
      <c r="T11" s="13">
        <v>0.97499999999999998</v>
      </c>
      <c r="U11" s="13">
        <v>0.28399999999999997</v>
      </c>
      <c r="V11" s="13">
        <v>1.716</v>
      </c>
      <c r="W11" s="13">
        <v>0.223</v>
      </c>
      <c r="X11" s="13">
        <v>1.7769999999999999</v>
      </c>
    </row>
    <row r="12" spans="1:24" x14ac:dyDescent="0.3">
      <c r="A12" s="11">
        <v>11</v>
      </c>
      <c r="B12" s="11">
        <v>100</v>
      </c>
      <c r="C12" s="11">
        <v>2</v>
      </c>
      <c r="D12" s="24">
        <f>Table11011[[#Totals],[pn]]/Table11011[[#Totals],[n]]</f>
        <v>4.2999999999999997E-2</v>
      </c>
      <c r="E12" s="23">
        <f>Table11011[[#This Row],[p ̅]]*Table11011[[#This Row],[n]]</f>
        <v>4.3</v>
      </c>
      <c r="F12" s="23">
        <f>Table11011[[#This Row],[p ̅n]]+3*SQRT(Table11011[[#This Row],[p ̅n]])*SQRT(1-Table11011[[#This Row],[p ̅]])</f>
        <v>10.385712776659771</v>
      </c>
      <c r="G12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2" s="13">
        <v>11</v>
      </c>
      <c r="S12" s="13">
        <v>0.28499999999999998</v>
      </c>
      <c r="T12" s="13">
        <v>0.92700000000000005</v>
      </c>
      <c r="U12" s="13">
        <v>0.32100000000000001</v>
      </c>
      <c r="V12" s="13">
        <v>1.679</v>
      </c>
      <c r="W12" s="13">
        <v>0.25600000000000001</v>
      </c>
      <c r="X12" s="13">
        <v>1.744</v>
      </c>
    </row>
    <row r="13" spans="1:24" x14ac:dyDescent="0.3">
      <c r="A13" s="11">
        <v>12</v>
      </c>
      <c r="B13" s="11">
        <v>100</v>
      </c>
      <c r="C13" s="11">
        <v>1</v>
      </c>
      <c r="D13" s="24">
        <f>Table11011[[#Totals],[pn]]/Table11011[[#Totals],[n]]</f>
        <v>4.2999999999999997E-2</v>
      </c>
      <c r="E13" s="23">
        <f>Table11011[[#This Row],[p ̅]]*Table11011[[#This Row],[n]]</f>
        <v>4.3</v>
      </c>
      <c r="F13" s="23">
        <f>Table11011[[#This Row],[p ̅n]]+3*SQRT(Table11011[[#This Row],[p ̅n]])*SQRT(1-Table11011[[#This Row],[p ̅]])</f>
        <v>10.385712776659771</v>
      </c>
      <c r="G13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3" s="13">
        <v>12</v>
      </c>
      <c r="S13" s="13">
        <v>0.26600000000000001</v>
      </c>
      <c r="T13" s="13">
        <v>0.88600000000000001</v>
      </c>
      <c r="U13" s="13">
        <v>0.35399999999999998</v>
      </c>
      <c r="V13" s="13">
        <v>1.6459999999999999</v>
      </c>
      <c r="W13" s="13">
        <v>0.28299999999999997</v>
      </c>
      <c r="X13" s="13">
        <v>1.7170000000000001</v>
      </c>
    </row>
    <row r="14" spans="1:24" x14ac:dyDescent="0.3">
      <c r="A14" s="11">
        <v>13</v>
      </c>
      <c r="B14" s="11">
        <v>100</v>
      </c>
      <c r="C14" s="11">
        <v>3</v>
      </c>
      <c r="D14" s="24">
        <f>Table11011[[#Totals],[pn]]/Table11011[[#Totals],[n]]</f>
        <v>4.2999999999999997E-2</v>
      </c>
      <c r="E14" s="23">
        <f>Table11011[[#This Row],[p ̅]]*Table11011[[#This Row],[n]]</f>
        <v>4.3</v>
      </c>
      <c r="F14" s="23">
        <f>Table11011[[#This Row],[p ̅n]]+3*SQRT(Table11011[[#This Row],[p ̅n]])*SQRT(1-Table11011[[#This Row],[p ̅]])</f>
        <v>10.385712776659771</v>
      </c>
      <c r="G14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4" s="13">
        <v>13</v>
      </c>
      <c r="S14" s="13">
        <v>0.249</v>
      </c>
      <c r="T14" s="13">
        <v>0.85</v>
      </c>
      <c r="U14" s="13">
        <v>0.38200000000000001</v>
      </c>
      <c r="V14" s="13">
        <v>1.6180000000000001</v>
      </c>
      <c r="W14" s="13">
        <v>0.307</v>
      </c>
      <c r="X14" s="13">
        <v>1.6930000000000001</v>
      </c>
    </row>
    <row r="15" spans="1:24" x14ac:dyDescent="0.3">
      <c r="A15" s="11">
        <v>14</v>
      </c>
      <c r="B15" s="11">
        <v>100</v>
      </c>
      <c r="C15" s="11">
        <v>1</v>
      </c>
      <c r="D15" s="24">
        <f>Table11011[[#Totals],[pn]]/Table11011[[#Totals],[n]]</f>
        <v>4.2999999999999997E-2</v>
      </c>
      <c r="E15" s="23">
        <f>Table11011[[#This Row],[p ̅]]*Table11011[[#This Row],[n]]</f>
        <v>4.3</v>
      </c>
      <c r="F15" s="23">
        <f>Table11011[[#This Row],[p ̅n]]+3*SQRT(Table11011[[#This Row],[p ̅n]])*SQRT(1-Table11011[[#This Row],[p ̅]])</f>
        <v>10.385712776659771</v>
      </c>
      <c r="G15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5" s="13">
        <v>14</v>
      </c>
      <c r="S15" s="13">
        <v>0.23499999999999999</v>
      </c>
      <c r="T15" s="13">
        <v>0.81699999999999995</v>
      </c>
      <c r="U15" s="13">
        <v>0.40600000000000003</v>
      </c>
      <c r="V15" s="13">
        <v>1.5940000000000001</v>
      </c>
      <c r="W15" s="13">
        <v>0.32800000000000001</v>
      </c>
      <c r="X15" s="13">
        <v>1.6719999999999999</v>
      </c>
    </row>
    <row r="16" spans="1:24" x14ac:dyDescent="0.3">
      <c r="A16" s="11">
        <v>15</v>
      </c>
      <c r="B16" s="11">
        <v>100</v>
      </c>
      <c r="C16" s="11">
        <v>4</v>
      </c>
      <c r="D16" s="24">
        <f>Table11011[[#Totals],[pn]]/Table11011[[#Totals],[n]]</f>
        <v>4.2999999999999997E-2</v>
      </c>
      <c r="E16" s="23">
        <f>Table11011[[#This Row],[p ̅]]*Table11011[[#This Row],[n]]</f>
        <v>4.3</v>
      </c>
      <c r="F16" s="23">
        <f>Table11011[[#This Row],[p ̅n]]+3*SQRT(Table11011[[#This Row],[p ̅n]])*SQRT(1-Table11011[[#This Row],[p ̅]])</f>
        <v>10.385712776659771</v>
      </c>
      <c r="G16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6" s="13">
        <v>15</v>
      </c>
      <c r="S16" s="13">
        <v>0.223</v>
      </c>
      <c r="T16" s="13">
        <v>0.78900000000000003</v>
      </c>
      <c r="U16" s="13">
        <v>0.42799999999999999</v>
      </c>
      <c r="V16" s="13">
        <v>1.5720000000000001</v>
      </c>
      <c r="W16" s="13">
        <v>0.34699999999999998</v>
      </c>
      <c r="X16" s="13">
        <v>1.653</v>
      </c>
    </row>
    <row r="17" spans="1:24" x14ac:dyDescent="0.3">
      <c r="A17" s="11">
        <v>16</v>
      </c>
      <c r="B17" s="11">
        <v>100</v>
      </c>
      <c r="C17" s="11">
        <v>5</v>
      </c>
      <c r="D17" s="24">
        <f>Table11011[[#Totals],[pn]]/Table11011[[#Totals],[n]]</f>
        <v>4.2999999999999997E-2</v>
      </c>
      <c r="E17" s="23">
        <f>Table11011[[#This Row],[p ̅]]*Table11011[[#This Row],[n]]</f>
        <v>4.3</v>
      </c>
      <c r="F17" s="23">
        <f>Table11011[[#This Row],[p ̅n]]+3*SQRT(Table11011[[#This Row],[p ̅n]])*SQRT(1-Table11011[[#This Row],[p ̅]])</f>
        <v>10.385712776659771</v>
      </c>
      <c r="G17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7" s="13">
        <v>16</v>
      </c>
      <c r="S17" s="13">
        <v>0.21199999999999999</v>
      </c>
      <c r="T17" s="13">
        <v>0.76300000000000001</v>
      </c>
      <c r="U17" s="13">
        <v>0.44800000000000001</v>
      </c>
      <c r="V17" s="13">
        <v>1.552</v>
      </c>
      <c r="W17" s="13">
        <v>0.36299999999999999</v>
      </c>
      <c r="X17" s="13">
        <v>1.637</v>
      </c>
    </row>
    <row r="18" spans="1:24" x14ac:dyDescent="0.3">
      <c r="A18" s="11">
        <v>17</v>
      </c>
      <c r="B18" s="11">
        <v>100</v>
      </c>
      <c r="C18" s="11">
        <v>4</v>
      </c>
      <c r="D18" s="24">
        <f>Table11011[[#Totals],[pn]]/Table11011[[#Totals],[n]]</f>
        <v>4.2999999999999997E-2</v>
      </c>
      <c r="E18" s="23">
        <f>Table11011[[#This Row],[p ̅]]*Table11011[[#This Row],[n]]</f>
        <v>4.3</v>
      </c>
      <c r="F18" s="23">
        <f>Table11011[[#This Row],[p ̅n]]+3*SQRT(Table11011[[#This Row],[p ̅n]])*SQRT(1-Table11011[[#This Row],[p ̅]])</f>
        <v>10.385712776659771</v>
      </c>
      <c r="G18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8" s="13">
        <v>17</v>
      </c>
      <c r="S18" s="13">
        <v>0.20300000000000001</v>
      </c>
      <c r="T18" s="13">
        <v>0.73899999999999999</v>
      </c>
      <c r="U18" s="13">
        <v>0.46600000000000003</v>
      </c>
      <c r="V18" s="13">
        <v>1.534</v>
      </c>
      <c r="W18" s="13">
        <v>0.378</v>
      </c>
      <c r="X18" s="13">
        <v>1.6220000000000001</v>
      </c>
    </row>
    <row r="19" spans="1:24" x14ac:dyDescent="0.3">
      <c r="A19" s="11">
        <v>18</v>
      </c>
      <c r="B19" s="11">
        <v>100</v>
      </c>
      <c r="C19" s="11">
        <v>1</v>
      </c>
      <c r="D19" s="24">
        <f>Table11011[[#Totals],[pn]]/Table11011[[#Totals],[n]]</f>
        <v>4.2999999999999997E-2</v>
      </c>
      <c r="E19" s="23">
        <f>Table11011[[#This Row],[p ̅]]*Table11011[[#This Row],[n]]</f>
        <v>4.3</v>
      </c>
      <c r="F19" s="23">
        <f>Table11011[[#This Row],[p ̅n]]+3*SQRT(Table11011[[#This Row],[p ̅n]])*SQRT(1-Table11011[[#This Row],[p ̅]])</f>
        <v>10.385712776659771</v>
      </c>
      <c r="G19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19" s="13">
        <v>18</v>
      </c>
      <c r="S19" s="13">
        <v>0.19400000000000001</v>
      </c>
      <c r="T19" s="13">
        <v>0.71799999999999997</v>
      </c>
      <c r="U19" s="13">
        <v>0.48199999999999998</v>
      </c>
      <c r="V19" s="13">
        <v>1.518</v>
      </c>
      <c r="W19" s="13">
        <v>0.39100000000000001</v>
      </c>
      <c r="X19" s="13">
        <v>1.6080000000000001</v>
      </c>
    </row>
    <row r="20" spans="1:24" x14ac:dyDescent="0.3">
      <c r="A20" s="11">
        <v>19</v>
      </c>
      <c r="B20" s="11">
        <v>100</v>
      </c>
      <c r="C20" s="11">
        <v>6</v>
      </c>
      <c r="D20" s="24">
        <f>Table11011[[#Totals],[pn]]/Table11011[[#Totals],[n]]</f>
        <v>4.2999999999999997E-2</v>
      </c>
      <c r="E20" s="23">
        <f>Table11011[[#This Row],[p ̅]]*Table11011[[#This Row],[n]]</f>
        <v>4.3</v>
      </c>
      <c r="F20" s="23">
        <f>Table11011[[#This Row],[p ̅n]]+3*SQRT(Table11011[[#This Row],[p ̅n]])*SQRT(1-Table11011[[#This Row],[p ̅]])</f>
        <v>10.385712776659771</v>
      </c>
      <c r="G20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0" s="13">
        <v>19</v>
      </c>
      <c r="S20" s="13">
        <v>0.187</v>
      </c>
      <c r="T20" s="13">
        <v>0.69799999999999995</v>
      </c>
      <c r="U20" s="13">
        <v>0.497</v>
      </c>
      <c r="V20" s="13">
        <v>1.5029999999999999</v>
      </c>
      <c r="W20" s="13">
        <v>0.40300000000000002</v>
      </c>
      <c r="X20" s="13">
        <v>1.597</v>
      </c>
    </row>
    <row r="21" spans="1:24" x14ac:dyDescent="0.3">
      <c r="A21" s="11">
        <v>20</v>
      </c>
      <c r="B21" s="11">
        <v>100</v>
      </c>
      <c r="C21" s="11">
        <v>15</v>
      </c>
      <c r="D21" s="24">
        <f>Table11011[[#Totals],[pn]]/Table11011[[#Totals],[n]]</f>
        <v>4.2999999999999997E-2</v>
      </c>
      <c r="E21" s="23">
        <f>Table11011[[#This Row],[p ̅]]*Table11011[[#This Row],[n]]</f>
        <v>4.3</v>
      </c>
      <c r="F21" s="23">
        <f>Table11011[[#This Row],[p ̅n]]+3*SQRT(Table11011[[#This Row],[p ̅n]])*SQRT(1-Table11011[[#This Row],[p ̅]])</f>
        <v>10.385712776659771</v>
      </c>
      <c r="G21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1" s="13"/>
      <c r="S21" s="13"/>
      <c r="T21" s="13"/>
      <c r="U21" s="13"/>
      <c r="V21" s="13"/>
      <c r="W21" s="13"/>
      <c r="X21" s="13"/>
    </row>
    <row r="22" spans="1:24" x14ac:dyDescent="0.3">
      <c r="A22" s="11">
        <v>21</v>
      </c>
      <c r="B22" s="11">
        <v>100</v>
      </c>
      <c r="C22" s="11">
        <v>12</v>
      </c>
      <c r="D22" s="24">
        <f>Table11011[[#Totals],[pn]]/Table11011[[#Totals],[n]]</f>
        <v>4.2999999999999997E-2</v>
      </c>
      <c r="E22" s="23">
        <f>Table11011[[#This Row],[p ̅]]*Table11011[[#This Row],[n]]</f>
        <v>4.3</v>
      </c>
      <c r="F22" s="23">
        <f>Table11011[[#This Row],[p ̅n]]+3*SQRT(Table11011[[#This Row],[p ̅n]])*SQRT(1-Table11011[[#This Row],[p ̅]])</f>
        <v>10.385712776659771</v>
      </c>
      <c r="G22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2" s="13"/>
      <c r="S22" s="13"/>
      <c r="T22" s="13"/>
      <c r="U22" s="13"/>
      <c r="V22" s="13"/>
      <c r="W22" s="13"/>
      <c r="X22" s="13"/>
    </row>
    <row r="23" spans="1:24" x14ac:dyDescent="0.3">
      <c r="A23" s="11">
        <v>22</v>
      </c>
      <c r="B23" s="11">
        <v>100</v>
      </c>
      <c r="C23" s="11">
        <v>6</v>
      </c>
      <c r="D23" s="24">
        <f>Table11011[[#Totals],[pn]]/Table11011[[#Totals],[n]]</f>
        <v>4.2999999999999997E-2</v>
      </c>
      <c r="E23" s="23">
        <f>Table11011[[#This Row],[p ̅]]*Table11011[[#This Row],[n]]</f>
        <v>4.3</v>
      </c>
      <c r="F23" s="23">
        <f>Table11011[[#This Row],[p ̅n]]+3*SQRT(Table11011[[#This Row],[p ̅n]])*SQRT(1-Table11011[[#This Row],[p ̅]])</f>
        <v>10.385712776659771</v>
      </c>
      <c r="G23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3" s="13"/>
      <c r="S23" s="13"/>
      <c r="T23" s="13"/>
      <c r="U23" s="13"/>
      <c r="V23" s="13"/>
      <c r="W23" s="13"/>
      <c r="X23" s="13"/>
    </row>
    <row r="24" spans="1:24" x14ac:dyDescent="0.3">
      <c r="A24" s="11">
        <v>23</v>
      </c>
      <c r="B24" s="11">
        <v>100</v>
      </c>
      <c r="C24" s="11">
        <v>3</v>
      </c>
      <c r="D24" s="24">
        <f>Table11011[[#Totals],[pn]]/Table11011[[#Totals],[n]]</f>
        <v>4.2999999999999997E-2</v>
      </c>
      <c r="E24" s="23">
        <f>Table11011[[#This Row],[p ̅]]*Table11011[[#This Row],[n]]</f>
        <v>4.3</v>
      </c>
      <c r="F24" s="23">
        <f>Table11011[[#This Row],[p ̅n]]+3*SQRT(Table11011[[#This Row],[p ̅n]])*SQRT(1-Table11011[[#This Row],[p ̅]])</f>
        <v>10.385712776659771</v>
      </c>
      <c r="G24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4" s="13"/>
      <c r="S24" s="13"/>
      <c r="T24" s="13"/>
      <c r="U24" s="13"/>
      <c r="V24" s="13"/>
      <c r="W24" s="13"/>
      <c r="X24" s="13"/>
    </row>
    <row r="25" spans="1:24" x14ac:dyDescent="0.3">
      <c r="A25" s="11">
        <v>24</v>
      </c>
      <c r="B25" s="11">
        <v>100</v>
      </c>
      <c r="C25" s="11">
        <v>4</v>
      </c>
      <c r="D25" s="24">
        <f>Table11011[[#Totals],[pn]]/Table11011[[#Totals],[n]]</f>
        <v>4.2999999999999997E-2</v>
      </c>
      <c r="E25" s="23">
        <f>Table11011[[#This Row],[p ̅]]*Table11011[[#This Row],[n]]</f>
        <v>4.3</v>
      </c>
      <c r="F25" s="23">
        <f>Table11011[[#This Row],[p ̅n]]+3*SQRT(Table11011[[#This Row],[p ̅n]])*SQRT(1-Table11011[[#This Row],[p ̅]])</f>
        <v>10.385712776659771</v>
      </c>
      <c r="G25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5" s="13"/>
      <c r="S25" s="13"/>
      <c r="T25" s="13"/>
      <c r="U25" s="13"/>
      <c r="V25" s="13"/>
      <c r="W25" s="13"/>
      <c r="X25" s="13"/>
    </row>
    <row r="26" spans="1:24" x14ac:dyDescent="0.3">
      <c r="A26" s="11">
        <v>25</v>
      </c>
      <c r="B26" s="11">
        <v>100</v>
      </c>
      <c r="C26" s="11">
        <v>3</v>
      </c>
      <c r="D26" s="24">
        <f>Table11011[[#Totals],[pn]]/Table11011[[#Totals],[n]]</f>
        <v>4.2999999999999997E-2</v>
      </c>
      <c r="E26" s="23">
        <f>Table11011[[#This Row],[p ̅]]*Table11011[[#This Row],[n]]</f>
        <v>4.3</v>
      </c>
      <c r="F26" s="23">
        <f>Table11011[[#This Row],[p ̅n]]+3*SQRT(Table11011[[#This Row],[p ̅n]])*SQRT(1-Table11011[[#This Row],[p ̅]])</f>
        <v>10.385712776659771</v>
      </c>
      <c r="G26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6" s="13">
        <v>20</v>
      </c>
      <c r="S26" s="13">
        <v>0.18</v>
      </c>
      <c r="T26" s="13">
        <v>0.68</v>
      </c>
      <c r="U26" s="13">
        <v>0.51</v>
      </c>
      <c r="V26" s="13">
        <v>1.49</v>
      </c>
      <c r="W26" s="13">
        <v>0.41499999999999998</v>
      </c>
      <c r="X26" s="13">
        <v>1.585</v>
      </c>
    </row>
    <row r="27" spans="1:24" x14ac:dyDescent="0.3">
      <c r="A27" s="11">
        <v>26</v>
      </c>
      <c r="B27" s="11">
        <v>100</v>
      </c>
      <c r="C27" s="11">
        <v>3</v>
      </c>
      <c r="D27" s="24">
        <f>Table11011[[#Totals],[pn]]/Table11011[[#Totals],[n]]</f>
        <v>4.2999999999999997E-2</v>
      </c>
      <c r="E27" s="23">
        <f>Table11011[[#This Row],[p ̅]]*Table11011[[#This Row],[n]]</f>
        <v>4.3</v>
      </c>
      <c r="F27" s="23">
        <f>Table11011[[#This Row],[p ̅n]]+3*SQRT(Table11011[[#This Row],[p ̅n]])*SQRT(1-Table11011[[#This Row],[p ̅]])</f>
        <v>10.385712776659771</v>
      </c>
      <c r="G27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7" s="13">
        <v>21</v>
      </c>
      <c r="S27" s="13">
        <v>0.17299999999999999</v>
      </c>
      <c r="T27" s="13">
        <v>0.66300000000000003</v>
      </c>
      <c r="U27" s="13">
        <v>0.52300000000000002</v>
      </c>
      <c r="V27" s="13">
        <v>1.4770000000000001</v>
      </c>
      <c r="W27" s="13">
        <v>0.42499999999999999</v>
      </c>
      <c r="X27" s="13">
        <v>1.575</v>
      </c>
    </row>
    <row r="28" spans="1:24" x14ac:dyDescent="0.3">
      <c r="A28" s="11">
        <v>27</v>
      </c>
      <c r="B28" s="11">
        <v>100</v>
      </c>
      <c r="C28" s="11">
        <v>2</v>
      </c>
      <c r="D28" s="24">
        <f>Table11011[[#Totals],[pn]]/Table11011[[#Totals],[n]]</f>
        <v>4.2999999999999997E-2</v>
      </c>
      <c r="E28" s="23">
        <f>Table11011[[#This Row],[p ̅]]*Table11011[[#This Row],[n]]</f>
        <v>4.3</v>
      </c>
      <c r="F28" s="23">
        <f>Table11011[[#This Row],[p ̅n]]+3*SQRT(Table11011[[#This Row],[p ̅n]])*SQRT(1-Table11011[[#This Row],[p ̅]])</f>
        <v>10.385712776659771</v>
      </c>
      <c r="G28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8" s="13">
        <v>22</v>
      </c>
      <c r="S28" s="13">
        <v>0.16700000000000001</v>
      </c>
      <c r="T28" s="13">
        <v>0.64700000000000002</v>
      </c>
      <c r="U28" s="13">
        <v>0.53400000000000003</v>
      </c>
      <c r="V28" s="13">
        <v>1.466</v>
      </c>
      <c r="W28" s="13">
        <v>0.434</v>
      </c>
      <c r="X28" s="13">
        <v>1.5660000000000001</v>
      </c>
    </row>
    <row r="29" spans="1:24" x14ac:dyDescent="0.3">
      <c r="A29" s="11">
        <v>28</v>
      </c>
      <c r="B29" s="11">
        <v>100</v>
      </c>
      <c r="C29" s="11">
        <v>5</v>
      </c>
      <c r="D29" s="24">
        <f>Table11011[[#Totals],[pn]]/Table11011[[#Totals],[n]]</f>
        <v>4.2999999999999997E-2</v>
      </c>
      <c r="E29" s="23">
        <f>Table11011[[#This Row],[p ̅]]*Table11011[[#This Row],[n]]</f>
        <v>4.3</v>
      </c>
      <c r="F29" s="23">
        <f>Table11011[[#This Row],[p ̅n]]+3*SQRT(Table11011[[#This Row],[p ̅n]])*SQRT(1-Table11011[[#This Row],[p ̅]])</f>
        <v>10.385712776659771</v>
      </c>
      <c r="G29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29" s="13">
        <v>23</v>
      </c>
      <c r="S29" s="13">
        <v>0.16200000000000001</v>
      </c>
      <c r="T29" s="13">
        <v>0.63300000000000001</v>
      </c>
      <c r="U29" s="13">
        <v>0.54500000000000004</v>
      </c>
      <c r="V29" s="13">
        <v>1.4550000000000001</v>
      </c>
      <c r="W29" s="13">
        <v>0.443</v>
      </c>
      <c r="X29" s="13">
        <v>1.5569999999999999</v>
      </c>
    </row>
    <row r="30" spans="1:24" x14ac:dyDescent="0.3">
      <c r="A30" s="11">
        <v>29</v>
      </c>
      <c r="B30" s="11">
        <v>100</v>
      </c>
      <c r="C30" s="11">
        <v>7</v>
      </c>
      <c r="D30" s="24">
        <f>Table11011[[#Totals],[pn]]/Table11011[[#Totals],[n]]</f>
        <v>4.2999999999999997E-2</v>
      </c>
      <c r="E30" s="23">
        <f>Table11011[[#This Row],[p ̅]]*Table11011[[#This Row],[n]]</f>
        <v>4.3</v>
      </c>
      <c r="F30" s="23">
        <f>Table11011[[#This Row],[p ̅n]]+3*SQRT(Table11011[[#This Row],[p ̅n]])*SQRT(1-Table11011[[#This Row],[p ̅]])</f>
        <v>10.385712776659771</v>
      </c>
      <c r="G30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30" s="13">
        <v>24</v>
      </c>
      <c r="S30" s="13">
        <v>0.157</v>
      </c>
      <c r="T30" s="13">
        <v>0.61899999999999999</v>
      </c>
      <c r="U30" s="13">
        <v>0.55500000000000005</v>
      </c>
      <c r="V30" s="13">
        <v>1.4450000000000001</v>
      </c>
      <c r="W30" s="13">
        <v>0.45100000000000001</v>
      </c>
      <c r="X30" s="13">
        <v>1.548</v>
      </c>
    </row>
    <row r="31" spans="1:24" x14ac:dyDescent="0.3">
      <c r="A31" s="11">
        <v>30</v>
      </c>
      <c r="B31" s="11">
        <v>100</v>
      </c>
      <c r="C31" s="11">
        <v>4</v>
      </c>
      <c r="D31" s="24">
        <f>Table11011[[#Totals],[pn]]/Table11011[[#Totals],[n]]</f>
        <v>4.2999999999999997E-2</v>
      </c>
      <c r="E31" s="23">
        <f>Table11011[[#This Row],[p ̅]]*Table11011[[#This Row],[n]]</f>
        <v>4.3</v>
      </c>
      <c r="F31" s="23">
        <f>Table11011[[#This Row],[p ̅n]]+3*SQRT(Table11011[[#This Row],[p ̅n]])*SQRT(1-Table11011[[#This Row],[p ̅]])</f>
        <v>10.385712776659771</v>
      </c>
      <c r="G31" s="23">
        <f>IF(Table11011[[#This Row],[p ̅n]]-3*SQRT(Table11011[[#This Row],[p ̅n]])*SQRT(1-Table11011[[#This Row],[p ̅]])&lt;0,0,Table11011[[#This Row],[p ̅n]]-3*SQRT(Table11011[[#This Row],[p ̅n]])*SQRT(1-Table11011[[#This Row],[p ̅]]))</f>
        <v>0</v>
      </c>
      <c r="R31" s="13">
        <v>25</v>
      </c>
      <c r="S31" s="13">
        <v>0.153</v>
      </c>
      <c r="T31" s="13">
        <v>0.60599999999999998</v>
      </c>
      <c r="U31" s="13">
        <v>0.56499999999999995</v>
      </c>
      <c r="V31" s="13">
        <v>1.4350000000000001</v>
      </c>
      <c r="W31" s="13">
        <v>0.45900000000000002</v>
      </c>
      <c r="X31" s="13">
        <v>1.5409999999999999</v>
      </c>
    </row>
    <row r="32" spans="1:24" x14ac:dyDescent="0.3">
      <c r="A32" s="18" t="s">
        <v>31</v>
      </c>
      <c r="B32" s="19">
        <f>SUBTOTAL(109,Table11011[n])</f>
        <v>3000</v>
      </c>
      <c r="C32" s="19">
        <f>SUBTOTAL(109,Table11011[pn])</f>
        <v>129</v>
      </c>
      <c r="D32" s="20"/>
      <c r="E32" s="20"/>
      <c r="F32" s="20"/>
      <c r="G32" s="20"/>
    </row>
    <row r="65" spans="11:16" x14ac:dyDescent="0.3">
      <c r="K65" s="10" t="s">
        <v>80</v>
      </c>
      <c r="M65" s="10" t="s">
        <v>81</v>
      </c>
      <c r="N65" s="10" t="s">
        <v>82</v>
      </c>
      <c r="O65" s="10" t="s">
        <v>83</v>
      </c>
      <c r="P65" s="10" t="s">
        <v>84</v>
      </c>
    </row>
    <row r="66" spans="11:16" x14ac:dyDescent="0.3">
      <c r="K66" s="10" t="s">
        <v>32</v>
      </c>
      <c r="L66" s="10" t="s">
        <v>85</v>
      </c>
    </row>
    <row r="67" spans="11:16" x14ac:dyDescent="0.3">
      <c r="L67" s="10" t="s">
        <v>73</v>
      </c>
      <c r="M67" s="10" t="s">
        <v>74</v>
      </c>
      <c r="P67" s="10" t="s">
        <v>74</v>
      </c>
    </row>
    <row r="68" spans="11:16" x14ac:dyDescent="0.3">
      <c r="K68" s="10">
        <v>1</v>
      </c>
      <c r="L68" s="10">
        <v>100</v>
      </c>
      <c r="M68" s="10">
        <v>1</v>
      </c>
      <c r="N68" s="10">
        <v>16</v>
      </c>
      <c r="O68" s="10">
        <v>100</v>
      </c>
      <c r="P68" s="10">
        <v>5</v>
      </c>
    </row>
    <row r="69" spans="11:16" x14ac:dyDescent="0.3">
      <c r="K69" s="10">
        <v>2</v>
      </c>
      <c r="M69" s="10">
        <v>6</v>
      </c>
      <c r="N69" s="10">
        <v>17</v>
      </c>
      <c r="P69" s="10">
        <v>4</v>
      </c>
    </row>
    <row r="70" spans="11:16" x14ac:dyDescent="0.3">
      <c r="K70" s="10">
        <v>3</v>
      </c>
      <c r="M70" s="10">
        <v>5</v>
      </c>
      <c r="N70" s="10">
        <v>18</v>
      </c>
      <c r="P70" s="10">
        <v>1</v>
      </c>
    </row>
    <row r="71" spans="11:16" x14ac:dyDescent="0.3">
      <c r="K71" s="10">
        <v>4</v>
      </c>
      <c r="M71" s="10">
        <v>5</v>
      </c>
      <c r="N71" s="10">
        <v>19</v>
      </c>
      <c r="P71" s="10">
        <v>6</v>
      </c>
    </row>
    <row r="72" spans="11:16" x14ac:dyDescent="0.3">
      <c r="K72" s="10">
        <v>5</v>
      </c>
      <c r="M72" s="10">
        <v>4</v>
      </c>
      <c r="N72" s="10">
        <v>20</v>
      </c>
      <c r="P72" s="10">
        <v>15</v>
      </c>
    </row>
    <row r="73" spans="11:16" x14ac:dyDescent="0.3">
      <c r="K73" s="10">
        <v>6</v>
      </c>
      <c r="M73" s="10">
        <v>3</v>
      </c>
      <c r="N73" s="10">
        <v>21</v>
      </c>
      <c r="P73" s="10">
        <v>12</v>
      </c>
    </row>
    <row r="74" spans="11:16" x14ac:dyDescent="0.3">
      <c r="K74" s="10">
        <v>7</v>
      </c>
      <c r="M74" s="10">
        <v>2</v>
      </c>
      <c r="N74" s="10">
        <v>22</v>
      </c>
      <c r="P74" s="10">
        <v>6</v>
      </c>
    </row>
    <row r="75" spans="11:16" x14ac:dyDescent="0.3">
      <c r="K75" s="10">
        <v>8</v>
      </c>
      <c r="M75" s="10">
        <v>2</v>
      </c>
      <c r="N75" s="10">
        <v>23</v>
      </c>
      <c r="P75" s="10">
        <v>3</v>
      </c>
    </row>
    <row r="76" spans="11:16" x14ac:dyDescent="0.3">
      <c r="K76" s="10">
        <v>9</v>
      </c>
      <c r="M76" s="10">
        <v>4</v>
      </c>
      <c r="N76" s="10">
        <v>24</v>
      </c>
      <c r="P76" s="10">
        <v>4</v>
      </c>
    </row>
    <row r="77" spans="11:16" x14ac:dyDescent="0.3">
      <c r="K77" s="10">
        <v>10</v>
      </c>
      <c r="M77" s="10">
        <v>6</v>
      </c>
      <c r="N77" s="10">
        <v>25</v>
      </c>
      <c r="P77" s="10">
        <v>3</v>
      </c>
    </row>
    <row r="78" spans="11:16" x14ac:dyDescent="0.3">
      <c r="K78" s="10">
        <v>11</v>
      </c>
      <c r="M78" s="10">
        <v>2</v>
      </c>
      <c r="N78" s="10">
        <v>26</v>
      </c>
      <c r="P78" s="10">
        <v>3</v>
      </c>
    </row>
    <row r="79" spans="11:16" x14ac:dyDescent="0.3">
      <c r="K79" s="10">
        <v>12</v>
      </c>
      <c r="M79" s="10">
        <v>1</v>
      </c>
      <c r="N79" s="10">
        <v>27</v>
      </c>
      <c r="P79" s="10">
        <v>2</v>
      </c>
    </row>
    <row r="80" spans="11:16" x14ac:dyDescent="0.3">
      <c r="K80" s="10">
        <v>13</v>
      </c>
      <c r="M80" s="10">
        <v>3</v>
      </c>
      <c r="N80" s="10">
        <v>28</v>
      </c>
      <c r="P80" s="10">
        <v>5</v>
      </c>
    </row>
    <row r="81" spans="11:16" x14ac:dyDescent="0.3">
      <c r="K81" s="10">
        <v>14</v>
      </c>
      <c r="M81" s="10">
        <v>1</v>
      </c>
      <c r="N81" s="10">
        <v>29</v>
      </c>
      <c r="P81" s="10">
        <v>7</v>
      </c>
    </row>
    <row r="82" spans="11:16" x14ac:dyDescent="0.3">
      <c r="K82" s="10">
        <v>15</v>
      </c>
      <c r="M82" s="10">
        <v>4</v>
      </c>
      <c r="N82" s="10">
        <v>30</v>
      </c>
      <c r="P82" s="10">
        <v>4</v>
      </c>
    </row>
    <row r="83" spans="11:16" x14ac:dyDescent="0.3">
      <c r="K83" s="10">
        <v>16</v>
      </c>
      <c r="M83" s="10">
        <v>5</v>
      </c>
    </row>
    <row r="84" spans="11:16" x14ac:dyDescent="0.3">
      <c r="K84" s="10">
        <v>17</v>
      </c>
      <c r="M84" s="10">
        <v>4</v>
      </c>
    </row>
    <row r="85" spans="11:16" x14ac:dyDescent="0.3">
      <c r="K85" s="10">
        <v>18</v>
      </c>
      <c r="M85" s="10">
        <v>1</v>
      </c>
    </row>
    <row r="86" spans="11:16" x14ac:dyDescent="0.3">
      <c r="K86" s="10">
        <v>19</v>
      </c>
      <c r="M86" s="10">
        <v>6</v>
      </c>
    </row>
    <row r="87" spans="11:16" x14ac:dyDescent="0.3">
      <c r="K87" s="10">
        <v>20</v>
      </c>
      <c r="M87" s="10">
        <v>15</v>
      </c>
    </row>
    <row r="88" spans="11:16" x14ac:dyDescent="0.3">
      <c r="K88" s="10">
        <v>21</v>
      </c>
      <c r="M88" s="10">
        <v>12</v>
      </c>
    </row>
    <row r="89" spans="11:16" x14ac:dyDescent="0.3">
      <c r="K89" s="10">
        <v>22</v>
      </c>
      <c r="M89" s="10">
        <v>6</v>
      </c>
    </row>
    <row r="90" spans="11:16" x14ac:dyDescent="0.3">
      <c r="K90" s="10">
        <v>23</v>
      </c>
      <c r="M90" s="10">
        <v>3</v>
      </c>
    </row>
    <row r="91" spans="11:16" x14ac:dyDescent="0.3">
      <c r="K91" s="10">
        <v>24</v>
      </c>
      <c r="M91" s="10">
        <v>4</v>
      </c>
    </row>
    <row r="92" spans="11:16" x14ac:dyDescent="0.3">
      <c r="K92" s="10">
        <v>25</v>
      </c>
      <c r="M92" s="10">
        <v>3</v>
      </c>
    </row>
    <row r="93" spans="11:16" x14ac:dyDescent="0.3">
      <c r="K93" s="10">
        <v>26</v>
      </c>
      <c r="M93" s="10">
        <v>3</v>
      </c>
    </row>
    <row r="94" spans="11:16" x14ac:dyDescent="0.3">
      <c r="K94" s="10">
        <v>27</v>
      </c>
      <c r="M94" s="10">
        <v>2</v>
      </c>
    </row>
    <row r="95" spans="11:16" x14ac:dyDescent="0.3">
      <c r="K95" s="10">
        <v>28</v>
      </c>
      <c r="M95" s="10">
        <v>5</v>
      </c>
    </row>
    <row r="96" spans="11:16" x14ac:dyDescent="0.3">
      <c r="K96" s="10">
        <v>29</v>
      </c>
      <c r="M96" s="10">
        <v>7</v>
      </c>
    </row>
    <row r="97" spans="11:13" x14ac:dyDescent="0.3">
      <c r="K97" s="10">
        <v>30</v>
      </c>
      <c r="M97" s="10">
        <v>4</v>
      </c>
    </row>
  </sheetData>
  <mergeCells count="4">
    <mergeCell ref="R1:R2"/>
    <mergeCell ref="S1:T1"/>
    <mergeCell ref="U1:V1"/>
    <mergeCell ref="W1:X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D280-C23F-4BB5-95C0-0A8BB360AFD0}">
  <sheetPr codeName="Sheet12"/>
  <dimension ref="A1:X87"/>
  <sheetViews>
    <sheetView topLeftCell="A12" zoomScaleNormal="100" workbookViewId="0">
      <selection activeCell="G2" sqref="G2"/>
    </sheetView>
  </sheetViews>
  <sheetFormatPr defaultColWidth="9.109375" defaultRowHeight="15.6" x14ac:dyDescent="0.3"/>
  <cols>
    <col min="1" max="7" width="22.88671875" style="11" customWidth="1"/>
    <col min="8" max="10" width="0" style="10" hidden="1" customWidth="1"/>
    <col min="11" max="11" width="20.88671875" style="10" hidden="1" customWidth="1"/>
    <col min="12" max="12" width="4.5546875" style="10" hidden="1" customWidth="1"/>
    <col min="13" max="13" width="3.44140625" style="10" hidden="1" customWidth="1"/>
    <col min="14" max="14" width="4.5546875" style="10" hidden="1" customWidth="1"/>
    <col min="15" max="15" width="2.109375" style="10" hidden="1" customWidth="1"/>
    <col min="16" max="16" width="4.88671875" style="10" hidden="1" customWidth="1"/>
    <col min="17" max="17" width="0.5546875" style="10" hidden="1" customWidth="1"/>
    <col min="18" max="18" width="18.5546875" style="10" hidden="1" customWidth="1"/>
    <col min="19" max="24" width="0" style="10" hidden="1" customWidth="1"/>
    <col min="25" max="16384" width="9.109375" style="10"/>
  </cols>
  <sheetData>
    <row r="1" spans="1:24" ht="19.5" customHeight="1" thickBot="1" x14ac:dyDescent="0.35">
      <c r="A1" s="5" t="s">
        <v>32</v>
      </c>
      <c r="B1" s="6" t="s">
        <v>86</v>
      </c>
      <c r="C1" s="6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8"/>
      <c r="I1" s="9"/>
      <c r="R1" s="46" t="s">
        <v>47</v>
      </c>
      <c r="S1" s="48" t="s">
        <v>48</v>
      </c>
      <c r="T1" s="49"/>
      <c r="U1" s="48" t="s">
        <v>49</v>
      </c>
      <c r="V1" s="49"/>
      <c r="W1" s="48" t="s">
        <v>39</v>
      </c>
      <c r="X1" s="49"/>
    </row>
    <row r="2" spans="1:24" x14ac:dyDescent="0.3">
      <c r="A2" s="11">
        <v>1</v>
      </c>
      <c r="B2" s="17">
        <v>1</v>
      </c>
      <c r="C2" s="17">
        <v>4</v>
      </c>
      <c r="D2" s="25">
        <f>Table110118[[#This Row],[No. of pinholes c]]/Table110118[[#This Row],[subgroup size n]]</f>
        <v>4</v>
      </c>
      <c r="E2" s="23">
        <f>Table110118[[#Totals],[No. of pinholes c]]/Table110118[[#Totals],[subgroup size n]]</f>
        <v>3.125</v>
      </c>
      <c r="F2" s="23">
        <f>Table110118[[#This Row],[u ̅]]+3*SQRT(Table110118[[#This Row],[u ̅]])/SQRT(Table110118[[#This Row],[subgroup size n]])</f>
        <v>8.4283008588991066</v>
      </c>
      <c r="G2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H2" s="8" t="s">
        <v>50</v>
      </c>
      <c r="I2" s="9">
        <f>COUNT(A:A)</f>
        <v>21</v>
      </c>
      <c r="R2" s="47"/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</row>
    <row r="3" spans="1:24" x14ac:dyDescent="0.3">
      <c r="A3" s="11">
        <v>2</v>
      </c>
      <c r="B3" s="17">
        <v>1</v>
      </c>
      <c r="C3" s="17">
        <v>5</v>
      </c>
      <c r="D3" s="25">
        <f>Table110118[[#This Row],[No. of pinholes c]]/Table110118[[#This Row],[subgroup size n]]</f>
        <v>5</v>
      </c>
      <c r="E3" s="23">
        <f>Table110118[[#Totals],[No. of pinholes c]]/Table110118[[#Totals],[subgroup size n]]</f>
        <v>3.125</v>
      </c>
      <c r="F3" s="23">
        <f>Table110118[[#This Row],[u ̅]]+3*SQRT(Table110118[[#This Row],[u ̅]])/SQRT(Table110118[[#This Row],[subgroup size n]])</f>
        <v>8.4283008588991066</v>
      </c>
      <c r="G3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H3" s="8"/>
      <c r="R3" s="13" t="s">
        <v>57</v>
      </c>
      <c r="S3" s="13">
        <v>1.88</v>
      </c>
      <c r="T3" s="13">
        <v>2.6589999999999998</v>
      </c>
      <c r="U3" s="13">
        <v>0</v>
      </c>
      <c r="V3" s="13">
        <v>3.2669999999999999</v>
      </c>
      <c r="W3" s="13">
        <v>0</v>
      </c>
      <c r="X3" s="13">
        <v>3.2669999999999999</v>
      </c>
    </row>
    <row r="4" spans="1:24" x14ac:dyDescent="0.3">
      <c r="A4" s="11">
        <v>3</v>
      </c>
      <c r="B4" s="17">
        <v>1</v>
      </c>
      <c r="C4" s="17">
        <v>3</v>
      </c>
      <c r="D4" s="25">
        <f>Table110118[[#This Row],[No. of pinholes c]]/Table110118[[#This Row],[subgroup size n]]</f>
        <v>3</v>
      </c>
      <c r="E4" s="23">
        <f>Table110118[[#Totals],[No. of pinholes c]]/Table110118[[#Totals],[subgroup size n]]</f>
        <v>3.125</v>
      </c>
      <c r="F4" s="23">
        <f>Table110118[[#This Row],[u ̅]]+3*SQRT(Table110118[[#This Row],[u ̅]])/SQRT(Table110118[[#This Row],[subgroup size n]])</f>
        <v>8.4283008588991066</v>
      </c>
      <c r="G4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4" s="13">
        <v>3</v>
      </c>
      <c r="S4" s="13">
        <v>1.0229999999999999</v>
      </c>
      <c r="T4" s="13">
        <v>1.954</v>
      </c>
      <c r="U4" s="13">
        <v>0</v>
      </c>
      <c r="V4" s="13">
        <v>2.5680000000000001</v>
      </c>
      <c r="W4" s="13">
        <v>0</v>
      </c>
      <c r="X4" s="13">
        <v>2.5739999999999998</v>
      </c>
    </row>
    <row r="5" spans="1:24" x14ac:dyDescent="0.3">
      <c r="A5" s="11">
        <v>4</v>
      </c>
      <c r="B5" s="17">
        <v>1</v>
      </c>
      <c r="C5" s="17">
        <v>3</v>
      </c>
      <c r="D5" s="25">
        <f>Table110118[[#This Row],[No. of pinholes c]]/Table110118[[#This Row],[subgroup size n]]</f>
        <v>3</v>
      </c>
      <c r="E5" s="23">
        <f>Table110118[[#Totals],[No. of pinholes c]]/Table110118[[#Totals],[subgroup size n]]</f>
        <v>3.125</v>
      </c>
      <c r="F5" s="23">
        <f>Table110118[[#This Row],[u ̅]]+3*SQRT(Table110118[[#This Row],[u ̅]])/SQRT(Table110118[[#This Row],[subgroup size n]])</f>
        <v>8.4283008588991066</v>
      </c>
      <c r="G5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5" s="13">
        <v>4</v>
      </c>
      <c r="S5" s="13">
        <v>0.72899999999999998</v>
      </c>
      <c r="T5" s="13">
        <v>1.6279999999999999</v>
      </c>
      <c r="U5" s="13">
        <v>0</v>
      </c>
      <c r="V5" s="13">
        <v>2.266</v>
      </c>
      <c r="W5" s="13">
        <v>0</v>
      </c>
      <c r="X5" s="13">
        <v>2.282</v>
      </c>
    </row>
    <row r="6" spans="1:24" x14ac:dyDescent="0.3">
      <c r="A6" s="11">
        <v>5</v>
      </c>
      <c r="B6" s="17">
        <v>1</v>
      </c>
      <c r="C6" s="17">
        <v>5</v>
      </c>
      <c r="D6" s="25">
        <f>Table110118[[#This Row],[No. of pinholes c]]/Table110118[[#This Row],[subgroup size n]]</f>
        <v>5</v>
      </c>
      <c r="E6" s="23">
        <f>Table110118[[#Totals],[No. of pinholes c]]/Table110118[[#Totals],[subgroup size n]]</f>
        <v>3.125</v>
      </c>
      <c r="F6" s="23">
        <f>Table110118[[#This Row],[u ̅]]+3*SQRT(Table110118[[#This Row],[u ̅]])/SQRT(Table110118[[#This Row],[subgroup size n]])</f>
        <v>8.4283008588991066</v>
      </c>
      <c r="G6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6" s="13">
        <v>5</v>
      </c>
      <c r="S6" s="13">
        <v>0.57699999999999996</v>
      </c>
      <c r="T6" s="13">
        <v>1.427</v>
      </c>
      <c r="U6" s="13">
        <v>0</v>
      </c>
      <c r="V6" s="13">
        <v>2.089</v>
      </c>
      <c r="W6" s="13">
        <v>0</v>
      </c>
      <c r="X6" s="13">
        <v>2.1139999999999999</v>
      </c>
    </row>
    <row r="7" spans="1:24" x14ac:dyDescent="0.3">
      <c r="A7" s="11">
        <v>6</v>
      </c>
      <c r="B7" s="17">
        <v>1.3</v>
      </c>
      <c r="C7" s="17">
        <v>2</v>
      </c>
      <c r="D7" s="25">
        <f>Table110118[[#This Row],[No. of pinholes c]]/Table110118[[#This Row],[subgroup size n]]</f>
        <v>1.5384615384615383</v>
      </c>
      <c r="E7" s="23">
        <f>Table110118[[#Totals],[No. of pinholes c]]/Table110118[[#Totals],[subgroup size n]]</f>
        <v>3.125</v>
      </c>
      <c r="F7" s="23">
        <f>Table110118[[#This Row],[u ̅]]+3*SQRT(Table110118[[#This Row],[u ̅]])/SQRT(Table110118[[#This Row],[subgroup size n]])</f>
        <v>7.7763025470953169</v>
      </c>
      <c r="G7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7" s="13">
        <v>6</v>
      </c>
      <c r="S7" s="13">
        <v>0.48299999999999998</v>
      </c>
      <c r="T7" s="13">
        <v>1.2869999999999999</v>
      </c>
      <c r="U7" s="13">
        <v>0.03</v>
      </c>
      <c r="V7" s="13">
        <v>1.97</v>
      </c>
      <c r="W7" s="13">
        <v>0</v>
      </c>
      <c r="X7" s="13">
        <v>2.004</v>
      </c>
    </row>
    <row r="8" spans="1:24" x14ac:dyDescent="0.3">
      <c r="A8" s="11">
        <v>7</v>
      </c>
      <c r="B8" s="17">
        <v>1.3</v>
      </c>
      <c r="C8" s="17">
        <v>5</v>
      </c>
      <c r="D8" s="25">
        <f>Table110118[[#This Row],[No. of pinholes c]]/Table110118[[#This Row],[subgroup size n]]</f>
        <v>3.8461538461538458</v>
      </c>
      <c r="E8" s="23">
        <f>Table110118[[#Totals],[No. of pinholes c]]/Table110118[[#Totals],[subgroup size n]]</f>
        <v>3.125</v>
      </c>
      <c r="F8" s="23">
        <f>Table110118[[#This Row],[u ̅]]+3*SQRT(Table110118[[#This Row],[u ̅]])/SQRT(Table110118[[#This Row],[subgroup size n]])</f>
        <v>7.7763025470953169</v>
      </c>
      <c r="G8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8" s="13">
        <v>7</v>
      </c>
      <c r="S8" s="13">
        <v>0.41899999999999998</v>
      </c>
      <c r="T8" s="13">
        <v>1.1819999999999999</v>
      </c>
      <c r="U8" s="13">
        <v>0.11799999999999999</v>
      </c>
      <c r="V8" s="13">
        <v>1.8819999999999999</v>
      </c>
      <c r="W8" s="13">
        <v>7.5999999999999998E-2</v>
      </c>
      <c r="X8" s="13">
        <v>1.9239999999999999</v>
      </c>
    </row>
    <row r="9" spans="1:24" x14ac:dyDescent="0.3">
      <c r="A9" s="11">
        <v>8</v>
      </c>
      <c r="B9" s="17">
        <v>1.3</v>
      </c>
      <c r="C9" s="17">
        <v>3</v>
      </c>
      <c r="D9" s="25">
        <f>Table110118[[#This Row],[No. of pinholes c]]/Table110118[[#This Row],[subgroup size n]]</f>
        <v>2.3076923076923075</v>
      </c>
      <c r="E9" s="23">
        <f>Table110118[[#Totals],[No. of pinholes c]]/Table110118[[#Totals],[subgroup size n]]</f>
        <v>3.125</v>
      </c>
      <c r="F9" s="23">
        <f>Table110118[[#This Row],[u ̅]]+3*SQRT(Table110118[[#This Row],[u ̅]])/SQRT(Table110118[[#This Row],[subgroup size n]])</f>
        <v>7.7763025470953169</v>
      </c>
      <c r="G9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9" s="13">
        <v>8</v>
      </c>
      <c r="S9" s="13">
        <v>0.373</v>
      </c>
      <c r="T9" s="13">
        <v>1.099</v>
      </c>
      <c r="U9" s="13">
        <v>0.185</v>
      </c>
      <c r="V9" s="13">
        <v>1.8149999999999999</v>
      </c>
      <c r="W9" s="13">
        <v>0.13600000000000001</v>
      </c>
      <c r="X9" s="13">
        <v>1.8640000000000001</v>
      </c>
    </row>
    <row r="10" spans="1:24" x14ac:dyDescent="0.3">
      <c r="A10" s="11">
        <v>9</v>
      </c>
      <c r="B10" s="17">
        <v>1.3</v>
      </c>
      <c r="C10" s="17">
        <v>2</v>
      </c>
      <c r="D10" s="25">
        <f>Table110118[[#This Row],[No. of pinholes c]]/Table110118[[#This Row],[subgroup size n]]</f>
        <v>1.5384615384615383</v>
      </c>
      <c r="E10" s="23">
        <f>Table110118[[#Totals],[No. of pinholes c]]/Table110118[[#Totals],[subgroup size n]]</f>
        <v>3.125</v>
      </c>
      <c r="F10" s="23">
        <f>Table110118[[#This Row],[u ̅]]+3*SQRT(Table110118[[#This Row],[u ̅]])/SQRT(Table110118[[#This Row],[subgroup size n]])</f>
        <v>7.7763025470953169</v>
      </c>
      <c r="G10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0" s="13">
        <v>9</v>
      </c>
      <c r="S10" s="13">
        <v>0.33700000000000002</v>
      </c>
      <c r="T10" s="13">
        <v>1.032</v>
      </c>
      <c r="U10" s="13">
        <v>0.23899999999999999</v>
      </c>
      <c r="V10" s="13">
        <v>1.7609999999999999</v>
      </c>
      <c r="W10" s="13">
        <v>0.184</v>
      </c>
      <c r="X10" s="13">
        <v>1.8160000000000001</v>
      </c>
    </row>
    <row r="11" spans="1:24" x14ac:dyDescent="0.3">
      <c r="A11" s="11">
        <v>10</v>
      </c>
      <c r="B11" s="17">
        <v>1.3</v>
      </c>
      <c r="C11" s="17">
        <v>1</v>
      </c>
      <c r="D11" s="25">
        <f>Table110118[[#This Row],[No. of pinholes c]]/Table110118[[#This Row],[subgroup size n]]</f>
        <v>0.76923076923076916</v>
      </c>
      <c r="E11" s="23">
        <f>Table110118[[#Totals],[No. of pinholes c]]/Table110118[[#Totals],[subgroup size n]]</f>
        <v>3.125</v>
      </c>
      <c r="F11" s="23">
        <f>Table110118[[#This Row],[u ̅]]+3*SQRT(Table110118[[#This Row],[u ̅]])/SQRT(Table110118[[#This Row],[subgroup size n]])</f>
        <v>7.7763025470953169</v>
      </c>
      <c r="G11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1" s="13">
        <v>10</v>
      </c>
      <c r="S11" s="13">
        <v>0.308</v>
      </c>
      <c r="T11" s="13">
        <v>0.97499999999999998</v>
      </c>
      <c r="U11" s="13">
        <v>0.28399999999999997</v>
      </c>
      <c r="V11" s="13">
        <v>1.716</v>
      </c>
      <c r="W11" s="13">
        <v>0.223</v>
      </c>
      <c r="X11" s="13">
        <v>1.7769999999999999</v>
      </c>
    </row>
    <row r="12" spans="1:24" x14ac:dyDescent="0.3">
      <c r="A12" s="11">
        <v>11</v>
      </c>
      <c r="B12" s="17">
        <v>1.3</v>
      </c>
      <c r="C12" s="17">
        <v>5</v>
      </c>
      <c r="D12" s="25">
        <f>Table110118[[#This Row],[No. of pinholes c]]/Table110118[[#This Row],[subgroup size n]]</f>
        <v>3.8461538461538458</v>
      </c>
      <c r="E12" s="23">
        <f>Table110118[[#Totals],[No. of pinholes c]]/Table110118[[#Totals],[subgroup size n]]</f>
        <v>3.125</v>
      </c>
      <c r="F12" s="23">
        <f>Table110118[[#This Row],[u ̅]]+3*SQRT(Table110118[[#This Row],[u ̅]])/SQRT(Table110118[[#This Row],[subgroup size n]])</f>
        <v>7.7763025470953169</v>
      </c>
      <c r="G12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2" s="13">
        <v>11</v>
      </c>
      <c r="S12" s="13">
        <v>0.28499999999999998</v>
      </c>
      <c r="T12" s="13">
        <v>0.92700000000000005</v>
      </c>
      <c r="U12" s="13">
        <v>0.32100000000000001</v>
      </c>
      <c r="V12" s="13">
        <v>1.679</v>
      </c>
      <c r="W12" s="13">
        <v>0.25600000000000001</v>
      </c>
      <c r="X12" s="13">
        <v>1.744</v>
      </c>
    </row>
    <row r="13" spans="1:24" x14ac:dyDescent="0.3">
      <c r="A13" s="11">
        <v>12</v>
      </c>
      <c r="B13" s="17">
        <v>1.3</v>
      </c>
      <c r="C13" s="17">
        <v>2</v>
      </c>
      <c r="D13" s="25">
        <f>Table110118[[#This Row],[No. of pinholes c]]/Table110118[[#This Row],[subgroup size n]]</f>
        <v>1.5384615384615383</v>
      </c>
      <c r="E13" s="23">
        <f>Table110118[[#Totals],[No. of pinholes c]]/Table110118[[#Totals],[subgroup size n]]</f>
        <v>3.125</v>
      </c>
      <c r="F13" s="23">
        <f>Table110118[[#This Row],[u ̅]]+3*SQRT(Table110118[[#This Row],[u ̅]])/SQRT(Table110118[[#This Row],[subgroup size n]])</f>
        <v>7.7763025470953169</v>
      </c>
      <c r="G13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3" s="13">
        <v>12</v>
      </c>
      <c r="S13" s="13">
        <v>0.26600000000000001</v>
      </c>
      <c r="T13" s="13">
        <v>0.88600000000000001</v>
      </c>
      <c r="U13" s="13">
        <v>0.35399999999999998</v>
      </c>
      <c r="V13" s="13">
        <v>1.6459999999999999</v>
      </c>
      <c r="W13" s="13">
        <v>0.28299999999999997</v>
      </c>
      <c r="X13" s="13">
        <v>1.7170000000000001</v>
      </c>
    </row>
    <row r="14" spans="1:24" x14ac:dyDescent="0.3">
      <c r="A14" s="11">
        <v>13</v>
      </c>
      <c r="B14" s="17">
        <v>1.3</v>
      </c>
      <c r="C14" s="17">
        <v>4</v>
      </c>
      <c r="D14" s="25">
        <f>Table110118[[#This Row],[No. of pinholes c]]/Table110118[[#This Row],[subgroup size n]]</f>
        <v>3.0769230769230766</v>
      </c>
      <c r="E14" s="23">
        <f>Table110118[[#Totals],[No. of pinholes c]]/Table110118[[#Totals],[subgroup size n]]</f>
        <v>3.125</v>
      </c>
      <c r="F14" s="23">
        <f>Table110118[[#This Row],[u ̅]]+3*SQRT(Table110118[[#This Row],[u ̅]])/SQRT(Table110118[[#This Row],[subgroup size n]])</f>
        <v>7.7763025470953169</v>
      </c>
      <c r="G14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4" s="13">
        <v>13</v>
      </c>
      <c r="S14" s="13">
        <v>0.249</v>
      </c>
      <c r="T14" s="13">
        <v>0.85</v>
      </c>
      <c r="U14" s="13">
        <v>0.38200000000000001</v>
      </c>
      <c r="V14" s="13">
        <v>1.6180000000000001</v>
      </c>
      <c r="W14" s="13">
        <v>0.307</v>
      </c>
      <c r="X14" s="13">
        <v>1.6930000000000001</v>
      </c>
    </row>
    <row r="15" spans="1:24" x14ac:dyDescent="0.3">
      <c r="A15" s="11">
        <v>14</v>
      </c>
      <c r="B15" s="17">
        <v>1.3</v>
      </c>
      <c r="C15" s="17">
        <v>2</v>
      </c>
      <c r="D15" s="25">
        <f>Table110118[[#This Row],[No. of pinholes c]]/Table110118[[#This Row],[subgroup size n]]</f>
        <v>1.5384615384615383</v>
      </c>
      <c r="E15" s="23">
        <f>Table110118[[#Totals],[No. of pinholes c]]/Table110118[[#Totals],[subgroup size n]]</f>
        <v>3.125</v>
      </c>
      <c r="F15" s="23">
        <f>Table110118[[#This Row],[u ̅]]+3*SQRT(Table110118[[#This Row],[u ̅]])/SQRT(Table110118[[#This Row],[subgroup size n]])</f>
        <v>7.7763025470953169</v>
      </c>
      <c r="G15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5" s="13">
        <v>14</v>
      </c>
      <c r="S15" s="13">
        <v>0.23499999999999999</v>
      </c>
      <c r="T15" s="13">
        <v>0.81699999999999995</v>
      </c>
      <c r="U15" s="13">
        <v>0.40600000000000003</v>
      </c>
      <c r="V15" s="13">
        <v>1.5940000000000001</v>
      </c>
      <c r="W15" s="13">
        <v>0.32800000000000001</v>
      </c>
      <c r="X15" s="13">
        <v>1.6719999999999999</v>
      </c>
    </row>
    <row r="16" spans="1:24" x14ac:dyDescent="0.3">
      <c r="A16" s="11">
        <v>15</v>
      </c>
      <c r="B16" s="17">
        <v>1.2</v>
      </c>
      <c r="C16" s="17">
        <v>6</v>
      </c>
      <c r="D16" s="25">
        <f>Table110118[[#This Row],[No. of pinholes c]]/Table110118[[#This Row],[subgroup size n]]</f>
        <v>5</v>
      </c>
      <c r="E16" s="23">
        <f>Table110118[[#Totals],[No. of pinholes c]]/Table110118[[#Totals],[subgroup size n]]</f>
        <v>3.125</v>
      </c>
      <c r="F16" s="23">
        <f>Table110118[[#This Row],[u ̅]]+3*SQRT(Table110118[[#This Row],[u ̅]])/SQRT(Table110118[[#This Row],[subgroup size n]])</f>
        <v>7.9662291827592719</v>
      </c>
      <c r="G16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6" s="13">
        <v>15</v>
      </c>
      <c r="S16" s="13">
        <v>0.223</v>
      </c>
      <c r="T16" s="13">
        <v>0.78900000000000003</v>
      </c>
      <c r="U16" s="13">
        <v>0.42799999999999999</v>
      </c>
      <c r="V16" s="13">
        <v>1.5720000000000001</v>
      </c>
      <c r="W16" s="13">
        <v>0.34699999999999998</v>
      </c>
      <c r="X16" s="13">
        <v>1.653</v>
      </c>
    </row>
    <row r="17" spans="1:24" x14ac:dyDescent="0.3">
      <c r="A17" s="11">
        <v>16</v>
      </c>
      <c r="B17" s="17">
        <v>1.2</v>
      </c>
      <c r="C17" s="17">
        <v>4</v>
      </c>
      <c r="D17" s="25">
        <f>Table110118[[#This Row],[No. of pinholes c]]/Table110118[[#This Row],[subgroup size n]]</f>
        <v>3.3333333333333335</v>
      </c>
      <c r="E17" s="23">
        <f>Table110118[[#Totals],[No. of pinholes c]]/Table110118[[#Totals],[subgroup size n]]</f>
        <v>3.125</v>
      </c>
      <c r="F17" s="23">
        <f>Table110118[[#This Row],[u ̅]]+3*SQRT(Table110118[[#This Row],[u ̅]])/SQRT(Table110118[[#This Row],[subgroup size n]])</f>
        <v>7.9662291827592719</v>
      </c>
      <c r="G17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7" s="13">
        <v>16</v>
      </c>
      <c r="S17" s="13">
        <v>0.21199999999999999</v>
      </c>
      <c r="T17" s="13">
        <v>0.76300000000000001</v>
      </c>
      <c r="U17" s="13">
        <v>0.44800000000000001</v>
      </c>
      <c r="V17" s="13">
        <v>1.552</v>
      </c>
      <c r="W17" s="13">
        <v>0.36299999999999999</v>
      </c>
      <c r="X17" s="13">
        <v>1.637</v>
      </c>
    </row>
    <row r="18" spans="1:24" x14ac:dyDescent="0.3">
      <c r="A18" s="11">
        <v>17</v>
      </c>
      <c r="B18" s="17">
        <v>1.2</v>
      </c>
      <c r="C18" s="17">
        <v>0</v>
      </c>
      <c r="D18" s="25">
        <f>Table110118[[#This Row],[No. of pinholes c]]/Table110118[[#This Row],[subgroup size n]]</f>
        <v>0</v>
      </c>
      <c r="E18" s="23">
        <f>Table110118[[#Totals],[No. of pinholes c]]/Table110118[[#Totals],[subgroup size n]]</f>
        <v>3.125</v>
      </c>
      <c r="F18" s="23">
        <f>Table110118[[#This Row],[u ̅]]+3*SQRT(Table110118[[#This Row],[u ̅]])/SQRT(Table110118[[#This Row],[subgroup size n]])</f>
        <v>7.9662291827592719</v>
      </c>
      <c r="G18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8" s="13">
        <v>17</v>
      </c>
      <c r="S18" s="13">
        <v>0.20300000000000001</v>
      </c>
      <c r="T18" s="13">
        <v>0.73899999999999999</v>
      </c>
      <c r="U18" s="13">
        <v>0.46600000000000003</v>
      </c>
      <c r="V18" s="13">
        <v>1.534</v>
      </c>
      <c r="W18" s="13">
        <v>0.378</v>
      </c>
      <c r="X18" s="13">
        <v>1.6220000000000001</v>
      </c>
    </row>
    <row r="19" spans="1:24" x14ac:dyDescent="0.3">
      <c r="A19" s="11">
        <v>18</v>
      </c>
      <c r="B19" s="17">
        <v>1.7</v>
      </c>
      <c r="C19" s="17">
        <v>8</v>
      </c>
      <c r="D19" s="25">
        <f>Table110118[[#This Row],[No. of pinholes c]]/Table110118[[#This Row],[subgroup size n]]</f>
        <v>4.7058823529411766</v>
      </c>
      <c r="E19" s="23">
        <f>Table110118[[#Totals],[No. of pinholes c]]/Table110118[[#Totals],[subgroup size n]]</f>
        <v>3.125</v>
      </c>
      <c r="F19" s="23">
        <f>Table110118[[#This Row],[u ̅]]+3*SQRT(Table110118[[#This Row],[u ̅]])/SQRT(Table110118[[#This Row],[subgroup size n]])</f>
        <v>7.192446084099803</v>
      </c>
      <c r="G19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19" s="13">
        <v>18</v>
      </c>
      <c r="S19" s="13">
        <v>0.19400000000000001</v>
      </c>
      <c r="T19" s="13">
        <v>0.71799999999999997</v>
      </c>
      <c r="U19" s="13">
        <v>0.48199999999999998</v>
      </c>
      <c r="V19" s="13">
        <v>1.518</v>
      </c>
      <c r="W19" s="13">
        <v>0.39100000000000001</v>
      </c>
      <c r="X19" s="13">
        <v>1.6080000000000001</v>
      </c>
    </row>
    <row r="20" spans="1:24" x14ac:dyDescent="0.3">
      <c r="A20" s="11">
        <v>19</v>
      </c>
      <c r="B20" s="17">
        <v>1.7</v>
      </c>
      <c r="C20" s="17">
        <v>3</v>
      </c>
      <c r="D20" s="25">
        <f>Table110118[[#This Row],[No. of pinholes c]]/Table110118[[#This Row],[subgroup size n]]</f>
        <v>1.7647058823529411</v>
      </c>
      <c r="E20" s="23">
        <f>Table110118[[#Totals],[No. of pinholes c]]/Table110118[[#Totals],[subgroup size n]]</f>
        <v>3.125</v>
      </c>
      <c r="F20" s="23">
        <f>Table110118[[#This Row],[u ̅]]+3*SQRT(Table110118[[#This Row],[u ̅]])/SQRT(Table110118[[#This Row],[subgroup size n]])</f>
        <v>7.192446084099803</v>
      </c>
      <c r="G20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20" s="13">
        <v>19</v>
      </c>
      <c r="S20" s="13">
        <v>0.187</v>
      </c>
      <c r="T20" s="13">
        <v>0.69799999999999995</v>
      </c>
      <c r="U20" s="13">
        <v>0.497</v>
      </c>
      <c r="V20" s="13">
        <v>1.5029999999999999</v>
      </c>
      <c r="W20" s="13">
        <v>0.40300000000000002</v>
      </c>
      <c r="X20" s="13">
        <v>1.597</v>
      </c>
    </row>
    <row r="21" spans="1:24" ht="16.2" thickBot="1" x14ac:dyDescent="0.35">
      <c r="A21" s="11">
        <v>20</v>
      </c>
      <c r="B21" s="17">
        <v>1.7</v>
      </c>
      <c r="C21" s="17">
        <v>8</v>
      </c>
      <c r="D21" s="25">
        <f>Table110118[[#This Row],[No. of pinholes c]]/Table110118[[#This Row],[subgroup size n]]</f>
        <v>4.7058823529411766</v>
      </c>
      <c r="E21" s="23">
        <f>Table110118[[#Totals],[No. of pinholes c]]/Table110118[[#Totals],[subgroup size n]]</f>
        <v>3.125</v>
      </c>
      <c r="F21" s="23">
        <f>Table110118[[#This Row],[u ̅]]+3*SQRT(Table110118[[#This Row],[u ̅]])/SQRT(Table110118[[#This Row],[subgroup size n]])</f>
        <v>7.192446084099803</v>
      </c>
      <c r="G21" s="23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  <c r="R21" s="13"/>
      <c r="S21" s="13"/>
      <c r="T21" s="13"/>
      <c r="U21" s="13"/>
      <c r="V21" s="13"/>
      <c r="W21" s="13"/>
      <c r="X21" s="13"/>
    </row>
    <row r="22" spans="1:24" ht="16.2" thickBot="1" x14ac:dyDescent="0.35">
      <c r="A22" s="35">
        <v>21</v>
      </c>
      <c r="B22" s="36">
        <v>1.8</v>
      </c>
      <c r="C22" s="37">
        <v>10</v>
      </c>
      <c r="D22" s="25">
        <f>Table110118[[#This Row],[No. of pinholes c]]/Table110118[[#This Row],[subgroup size n]]</f>
        <v>5.5555555555555554</v>
      </c>
      <c r="E22" s="23">
        <f>Table110118[[#Totals],[No. of pinholes c]]/Table110118[[#Totals],[subgroup size n]]</f>
        <v>3.125</v>
      </c>
      <c r="F22" s="38">
        <f>Table110118[[#This Row],[u ̅]]+3*SQRT(Table110118[[#This Row],[u ̅]])/SQRT(Table110118[[#This Row],[subgroup size n]])</f>
        <v>7.0778470752104745</v>
      </c>
      <c r="G22" s="39">
        <f>IF(Table110118[[#This Row],[u ̅]]-3*SQRT(Table110118[[#This Row],[u ̅]])/SQRT(Table110118[[#This Row],[subgroup size n]])&lt;0,0,Table110118[[#This Row],[u ̅]]-3*SQRT(Table110118[[#This Row],[u ̅]])/SQRT(Table110118[[#This Row],[subgroup size n]]))</f>
        <v>0</v>
      </c>
    </row>
    <row r="23" spans="1:24" x14ac:dyDescent="0.3">
      <c r="A23" s="18" t="s">
        <v>31</v>
      </c>
      <c r="B23" s="19">
        <f>SUBTOTAL(109,Table110118[subgroup size n])</f>
        <v>27.2</v>
      </c>
      <c r="C23" s="19">
        <f>SUBTOTAL(109,Table110118[No. of pinholes c])</f>
        <v>85</v>
      </c>
      <c r="D23" s="34">
        <f>Table110118[[#Totals],[No. of pinholes c]]/Table110118[[#Totals],[subgroup size n]]</f>
        <v>3.125</v>
      </c>
      <c r="E23" s="20"/>
      <c r="F23" s="20"/>
      <c r="G23" s="20"/>
    </row>
    <row r="55" spans="11:16" x14ac:dyDescent="0.3">
      <c r="K55" s="10" t="s">
        <v>80</v>
      </c>
      <c r="M55" s="10" t="s">
        <v>81</v>
      </c>
      <c r="N55" s="10" t="s">
        <v>82</v>
      </c>
      <c r="O55" s="10" t="s">
        <v>83</v>
      </c>
      <c r="P55" s="10" t="s">
        <v>84</v>
      </c>
    </row>
    <row r="56" spans="11:16" x14ac:dyDescent="0.3">
      <c r="K56" s="10" t="s">
        <v>32</v>
      </c>
      <c r="L56" s="10" t="s">
        <v>85</v>
      </c>
    </row>
    <row r="57" spans="11:16" x14ac:dyDescent="0.3">
      <c r="L57" s="10" t="s">
        <v>73</v>
      </c>
      <c r="M57" s="10" t="s">
        <v>74</v>
      </c>
      <c r="P57" s="10" t="s">
        <v>74</v>
      </c>
    </row>
    <row r="58" spans="11:16" x14ac:dyDescent="0.3">
      <c r="K58" s="10">
        <v>1</v>
      </c>
      <c r="L58" s="10">
        <v>100</v>
      </c>
      <c r="M58" s="10">
        <v>1</v>
      </c>
      <c r="N58" s="10">
        <v>16</v>
      </c>
      <c r="O58" s="10">
        <v>100</v>
      </c>
      <c r="P58" s="10">
        <v>5</v>
      </c>
    </row>
    <row r="59" spans="11:16" x14ac:dyDescent="0.3">
      <c r="K59" s="10">
        <v>2</v>
      </c>
      <c r="M59" s="10">
        <v>6</v>
      </c>
      <c r="N59" s="10">
        <v>17</v>
      </c>
      <c r="P59" s="10">
        <v>4</v>
      </c>
    </row>
    <row r="60" spans="11:16" x14ac:dyDescent="0.3">
      <c r="K60" s="10">
        <v>3</v>
      </c>
      <c r="M60" s="10">
        <v>5</v>
      </c>
      <c r="N60" s="10">
        <v>18</v>
      </c>
      <c r="P60" s="10">
        <v>1</v>
      </c>
    </row>
    <row r="61" spans="11:16" x14ac:dyDescent="0.3">
      <c r="K61" s="10">
        <v>4</v>
      </c>
      <c r="M61" s="10">
        <v>5</v>
      </c>
      <c r="N61" s="10">
        <v>19</v>
      </c>
      <c r="P61" s="10">
        <v>6</v>
      </c>
    </row>
    <row r="62" spans="11:16" x14ac:dyDescent="0.3">
      <c r="K62" s="10">
        <v>5</v>
      </c>
      <c r="M62" s="10">
        <v>4</v>
      </c>
      <c r="N62" s="10">
        <v>20</v>
      </c>
      <c r="P62" s="10">
        <v>15</v>
      </c>
    </row>
    <row r="63" spans="11:16" x14ac:dyDescent="0.3">
      <c r="K63" s="10">
        <v>6</v>
      </c>
      <c r="M63" s="10">
        <v>3</v>
      </c>
      <c r="N63" s="10">
        <v>21</v>
      </c>
      <c r="P63" s="10">
        <v>12</v>
      </c>
    </row>
    <row r="64" spans="11:16" x14ac:dyDescent="0.3">
      <c r="K64" s="10">
        <v>7</v>
      </c>
      <c r="M64" s="10">
        <v>2</v>
      </c>
      <c r="N64" s="10">
        <v>22</v>
      </c>
      <c r="P64" s="10">
        <v>6</v>
      </c>
    </row>
    <row r="65" spans="11:16" x14ac:dyDescent="0.3">
      <c r="K65" s="10">
        <v>8</v>
      </c>
      <c r="M65" s="10">
        <v>2</v>
      </c>
      <c r="N65" s="10">
        <v>23</v>
      </c>
      <c r="P65" s="10">
        <v>3</v>
      </c>
    </row>
    <row r="66" spans="11:16" x14ac:dyDescent="0.3">
      <c r="K66" s="10">
        <v>9</v>
      </c>
      <c r="M66" s="10">
        <v>4</v>
      </c>
      <c r="N66" s="10">
        <v>24</v>
      </c>
      <c r="P66" s="10">
        <v>4</v>
      </c>
    </row>
    <row r="67" spans="11:16" x14ac:dyDescent="0.3">
      <c r="K67" s="10">
        <v>10</v>
      </c>
      <c r="M67" s="10">
        <v>6</v>
      </c>
      <c r="N67" s="10">
        <v>25</v>
      </c>
      <c r="P67" s="10">
        <v>3</v>
      </c>
    </row>
    <row r="68" spans="11:16" x14ac:dyDescent="0.3">
      <c r="K68" s="10">
        <v>11</v>
      </c>
      <c r="M68" s="10">
        <v>2</v>
      </c>
      <c r="N68" s="10">
        <v>26</v>
      </c>
      <c r="P68" s="10">
        <v>3</v>
      </c>
    </row>
    <row r="69" spans="11:16" x14ac:dyDescent="0.3">
      <c r="K69" s="10">
        <v>12</v>
      </c>
      <c r="M69" s="10">
        <v>1</v>
      </c>
      <c r="N69" s="10">
        <v>27</v>
      </c>
      <c r="P69" s="10">
        <v>2</v>
      </c>
    </row>
    <row r="70" spans="11:16" x14ac:dyDescent="0.3">
      <c r="K70" s="10">
        <v>13</v>
      </c>
      <c r="M70" s="10">
        <v>3</v>
      </c>
      <c r="N70" s="10">
        <v>28</v>
      </c>
      <c r="P70" s="10">
        <v>5</v>
      </c>
    </row>
    <row r="71" spans="11:16" x14ac:dyDescent="0.3">
      <c r="K71" s="10">
        <v>14</v>
      </c>
      <c r="M71" s="10">
        <v>1</v>
      </c>
      <c r="N71" s="10">
        <v>29</v>
      </c>
      <c r="P71" s="10">
        <v>7</v>
      </c>
    </row>
    <row r="72" spans="11:16" x14ac:dyDescent="0.3">
      <c r="K72" s="10">
        <v>15</v>
      </c>
      <c r="M72" s="10">
        <v>4</v>
      </c>
      <c r="N72" s="10">
        <v>30</v>
      </c>
      <c r="P72" s="10">
        <v>4</v>
      </c>
    </row>
    <row r="73" spans="11:16" x14ac:dyDescent="0.3">
      <c r="K73" s="10">
        <v>16</v>
      </c>
      <c r="M73" s="10">
        <v>5</v>
      </c>
    </row>
    <row r="74" spans="11:16" x14ac:dyDescent="0.3">
      <c r="K74" s="10">
        <v>17</v>
      </c>
      <c r="M74" s="10">
        <v>4</v>
      </c>
    </row>
    <row r="75" spans="11:16" x14ac:dyDescent="0.3">
      <c r="K75" s="10">
        <v>18</v>
      </c>
      <c r="M75" s="10">
        <v>1</v>
      </c>
    </row>
    <row r="76" spans="11:16" x14ac:dyDescent="0.3">
      <c r="K76" s="10">
        <v>19</v>
      </c>
      <c r="M76" s="10">
        <v>6</v>
      </c>
    </row>
    <row r="77" spans="11:16" x14ac:dyDescent="0.3">
      <c r="K77" s="10">
        <v>20</v>
      </c>
      <c r="M77" s="10">
        <v>15</v>
      </c>
    </row>
    <row r="78" spans="11:16" x14ac:dyDescent="0.3">
      <c r="K78" s="10">
        <v>21</v>
      </c>
      <c r="M78" s="10">
        <v>12</v>
      </c>
    </row>
    <row r="79" spans="11:16" x14ac:dyDescent="0.3">
      <c r="K79" s="10">
        <v>22</v>
      </c>
      <c r="M79" s="10">
        <v>6</v>
      </c>
    </row>
    <row r="80" spans="11:16" x14ac:dyDescent="0.3">
      <c r="K80" s="10">
        <v>23</v>
      </c>
      <c r="M80" s="10">
        <v>3</v>
      </c>
    </row>
    <row r="81" spans="11:13" x14ac:dyDescent="0.3">
      <c r="K81" s="10">
        <v>24</v>
      </c>
      <c r="M81" s="10">
        <v>4</v>
      </c>
    </row>
    <row r="82" spans="11:13" x14ac:dyDescent="0.3">
      <c r="K82" s="10">
        <v>25</v>
      </c>
      <c r="M82" s="10">
        <v>3</v>
      </c>
    </row>
    <row r="83" spans="11:13" x14ac:dyDescent="0.3">
      <c r="K83" s="10">
        <v>26</v>
      </c>
      <c r="M83" s="10">
        <v>3</v>
      </c>
    </row>
    <row r="84" spans="11:13" x14ac:dyDescent="0.3">
      <c r="K84" s="10">
        <v>27</v>
      </c>
      <c r="M84" s="10">
        <v>2</v>
      </c>
    </row>
    <row r="85" spans="11:13" x14ac:dyDescent="0.3">
      <c r="K85" s="10">
        <v>28</v>
      </c>
      <c r="M85" s="10">
        <v>5</v>
      </c>
    </row>
    <row r="86" spans="11:13" x14ac:dyDescent="0.3">
      <c r="K86" s="10">
        <v>29</v>
      </c>
      <c r="M86" s="10">
        <v>7</v>
      </c>
    </row>
    <row r="87" spans="11:13" x14ac:dyDescent="0.3">
      <c r="K87" s="10">
        <v>30</v>
      </c>
      <c r="M87" s="10">
        <v>4</v>
      </c>
    </row>
  </sheetData>
  <mergeCells count="4">
    <mergeCell ref="R1:R2"/>
    <mergeCell ref="S1:T1"/>
    <mergeCell ref="U1:V1"/>
    <mergeCell ref="W1:X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7D14-5FEE-4AC7-94DC-5A32DBE7AC07}">
  <sheetPr codeName="Sheet13"/>
  <dimension ref="A1:W87"/>
  <sheetViews>
    <sheetView topLeftCell="A15" zoomScaleNormal="100" workbookViewId="0">
      <selection activeCell="AC31" sqref="AC31"/>
    </sheetView>
  </sheetViews>
  <sheetFormatPr defaultColWidth="9.109375" defaultRowHeight="15.6" x14ac:dyDescent="0.3"/>
  <cols>
    <col min="1" max="6" width="22.88671875" style="11" customWidth="1"/>
    <col min="7" max="9" width="0" style="10" hidden="1" customWidth="1"/>
    <col min="10" max="10" width="20.88671875" style="10" hidden="1" customWidth="1"/>
    <col min="11" max="11" width="4.5546875" style="10" hidden="1" customWidth="1"/>
    <col min="12" max="12" width="3.44140625" style="10" hidden="1" customWidth="1"/>
    <col min="13" max="13" width="4.5546875" style="10" hidden="1" customWidth="1"/>
    <col min="14" max="14" width="2.109375" style="10" hidden="1" customWidth="1"/>
    <col min="15" max="15" width="4.88671875" style="10" hidden="1" customWidth="1"/>
    <col min="16" max="16" width="0.5546875" style="10" hidden="1" customWidth="1"/>
    <col min="17" max="17" width="18.5546875" style="10" hidden="1" customWidth="1"/>
    <col min="18" max="23" width="0" style="10" hidden="1" customWidth="1"/>
    <col min="24" max="25" width="9.109375" style="10"/>
    <col min="26" max="26" width="15.5546875" style="10" bestFit="1" customWidth="1"/>
    <col min="27" max="27" width="10.88671875" style="10" bestFit="1" customWidth="1"/>
    <col min="28" max="16384" width="9.109375" style="10"/>
  </cols>
  <sheetData>
    <row r="1" spans="1:23" ht="19.5" customHeight="1" thickBot="1" x14ac:dyDescent="0.35">
      <c r="A1" s="5" t="s">
        <v>32</v>
      </c>
      <c r="B1" s="6" t="s">
        <v>92</v>
      </c>
      <c r="C1" s="6" t="s">
        <v>93</v>
      </c>
      <c r="D1" s="5" t="s">
        <v>94</v>
      </c>
      <c r="E1" s="5" t="s">
        <v>95</v>
      </c>
      <c r="F1" s="5" t="s">
        <v>91</v>
      </c>
      <c r="G1" s="8"/>
      <c r="H1" s="9"/>
      <c r="Q1" s="46" t="s">
        <v>47</v>
      </c>
      <c r="R1" s="48" t="s">
        <v>48</v>
      </c>
      <c r="S1" s="49"/>
      <c r="T1" s="48" t="s">
        <v>49</v>
      </c>
      <c r="U1" s="49"/>
      <c r="V1" s="48" t="s">
        <v>39</v>
      </c>
      <c r="W1" s="49"/>
    </row>
    <row r="2" spans="1:23" x14ac:dyDescent="0.3">
      <c r="A2" s="11">
        <v>1</v>
      </c>
      <c r="B2" s="17">
        <v>1</v>
      </c>
      <c r="C2" s="26">
        <v>7</v>
      </c>
      <c r="D2" s="23">
        <f>Table11011812[[#Totals],[No. of defects c]]/$H$2</f>
        <v>4.0999999999999996</v>
      </c>
      <c r="E2" s="23">
        <f>Table11011812[[#This Row],[c ̅]]+3*SQRT(Table11011812[[#This Row],[c ̅]])</f>
        <v>10.174537019394975</v>
      </c>
      <c r="F2" s="23">
        <f>IF(Table11011812[[#This Row],[c ̅]]-3*SQRT(Table11011812[[#This Row],[c ̅]])&lt;0,0,Table11011812[[#This Row],[c ̅]]-3*SQRT(Table11011812[[#This Row],[c ̅]]))</f>
        <v>0</v>
      </c>
      <c r="G2" s="8" t="s">
        <v>50</v>
      </c>
      <c r="H2" s="9">
        <f>COUNT(A:A)</f>
        <v>20</v>
      </c>
      <c r="Q2" s="47"/>
      <c r="R2" s="13" t="s">
        <v>51</v>
      </c>
      <c r="S2" s="13" t="s">
        <v>52</v>
      </c>
      <c r="T2" s="13" t="s">
        <v>53</v>
      </c>
      <c r="U2" s="13" t="s">
        <v>54</v>
      </c>
      <c r="V2" s="13" t="s">
        <v>55</v>
      </c>
      <c r="W2" s="13" t="s">
        <v>56</v>
      </c>
    </row>
    <row r="3" spans="1:23" x14ac:dyDescent="0.3">
      <c r="A3" s="11">
        <v>2</v>
      </c>
      <c r="B3" s="17">
        <v>1</v>
      </c>
      <c r="C3" s="26">
        <v>5</v>
      </c>
      <c r="D3" s="23">
        <f>Table11011812[[#Totals],[No. of defects c]]/$H$2</f>
        <v>4.0999999999999996</v>
      </c>
      <c r="E3" s="23">
        <f>Table11011812[[#This Row],[c ̅]]+3*SQRT(Table11011812[[#This Row],[c ̅]])</f>
        <v>10.174537019394975</v>
      </c>
      <c r="F3" s="23">
        <f>IF(Table11011812[[#This Row],[c ̅]]-3*SQRT(Table11011812[[#This Row],[c ̅]])&lt;0,0,Table11011812[[#This Row],[c ̅]]-3*SQRT(Table11011812[[#This Row],[c ̅]]))</f>
        <v>0</v>
      </c>
      <c r="G3" s="8"/>
      <c r="Q3" s="13" t="s">
        <v>57</v>
      </c>
      <c r="R3" s="13">
        <v>1.88</v>
      </c>
      <c r="S3" s="13">
        <v>2.6589999999999998</v>
      </c>
      <c r="T3" s="13">
        <v>0</v>
      </c>
      <c r="U3" s="13">
        <v>3.2669999999999999</v>
      </c>
      <c r="V3" s="13">
        <v>0</v>
      </c>
      <c r="W3" s="13">
        <v>3.2669999999999999</v>
      </c>
    </row>
    <row r="4" spans="1:23" x14ac:dyDescent="0.3">
      <c r="A4" s="11">
        <v>3</v>
      </c>
      <c r="B4" s="17">
        <v>1</v>
      </c>
      <c r="C4" s="26">
        <v>3</v>
      </c>
      <c r="D4" s="23">
        <f>Table11011812[[#Totals],[No. of defects c]]/$H$2</f>
        <v>4.0999999999999996</v>
      </c>
      <c r="E4" s="23">
        <f>Table11011812[[#This Row],[c ̅]]+3*SQRT(Table11011812[[#This Row],[c ̅]])</f>
        <v>10.174537019394975</v>
      </c>
      <c r="F4" s="23">
        <f>IF(Table11011812[[#This Row],[c ̅]]-3*SQRT(Table11011812[[#This Row],[c ̅]])&lt;0,0,Table11011812[[#This Row],[c ̅]]-3*SQRT(Table11011812[[#This Row],[c ̅]]))</f>
        <v>0</v>
      </c>
      <c r="Q4" s="13">
        <v>3</v>
      </c>
      <c r="R4" s="13">
        <v>1.0229999999999999</v>
      </c>
      <c r="S4" s="13">
        <v>1.954</v>
      </c>
      <c r="T4" s="13">
        <v>0</v>
      </c>
      <c r="U4" s="13">
        <v>2.5680000000000001</v>
      </c>
      <c r="V4" s="13">
        <v>0</v>
      </c>
      <c r="W4" s="13">
        <v>2.5739999999999998</v>
      </c>
    </row>
    <row r="5" spans="1:23" x14ac:dyDescent="0.3">
      <c r="A5" s="11">
        <v>4</v>
      </c>
      <c r="B5" s="17">
        <v>1</v>
      </c>
      <c r="C5" s="26">
        <v>4</v>
      </c>
      <c r="D5" s="23">
        <f>Table11011812[[#Totals],[No. of defects c]]/$H$2</f>
        <v>4.0999999999999996</v>
      </c>
      <c r="E5" s="23">
        <f>Table11011812[[#This Row],[c ̅]]+3*SQRT(Table11011812[[#This Row],[c ̅]])</f>
        <v>10.174537019394975</v>
      </c>
      <c r="F5" s="23">
        <f>IF(Table11011812[[#This Row],[c ̅]]-3*SQRT(Table11011812[[#This Row],[c ̅]])&lt;0,0,Table11011812[[#This Row],[c ̅]]-3*SQRT(Table11011812[[#This Row],[c ̅]]))</f>
        <v>0</v>
      </c>
      <c r="Q5" s="13">
        <v>4</v>
      </c>
      <c r="R5" s="13">
        <v>0.72899999999999998</v>
      </c>
      <c r="S5" s="13">
        <v>1.6279999999999999</v>
      </c>
      <c r="T5" s="13">
        <v>0</v>
      </c>
      <c r="U5" s="13">
        <v>2.266</v>
      </c>
      <c r="V5" s="13">
        <v>0</v>
      </c>
      <c r="W5" s="13">
        <v>2.282</v>
      </c>
    </row>
    <row r="6" spans="1:23" x14ac:dyDescent="0.3">
      <c r="A6" s="11">
        <v>5</v>
      </c>
      <c r="B6" s="17">
        <v>1</v>
      </c>
      <c r="C6" s="26">
        <v>3</v>
      </c>
      <c r="D6" s="23">
        <f>Table11011812[[#Totals],[No. of defects c]]/$H$2</f>
        <v>4.0999999999999996</v>
      </c>
      <c r="E6" s="23">
        <f>Table11011812[[#This Row],[c ̅]]+3*SQRT(Table11011812[[#This Row],[c ̅]])</f>
        <v>10.174537019394975</v>
      </c>
      <c r="F6" s="23">
        <f>IF(Table11011812[[#This Row],[c ̅]]-3*SQRT(Table11011812[[#This Row],[c ̅]])&lt;0,0,Table11011812[[#This Row],[c ̅]]-3*SQRT(Table11011812[[#This Row],[c ̅]]))</f>
        <v>0</v>
      </c>
      <c r="Q6" s="13">
        <v>5</v>
      </c>
      <c r="R6" s="13">
        <v>0.57699999999999996</v>
      </c>
      <c r="S6" s="13">
        <v>1.427</v>
      </c>
      <c r="T6" s="13">
        <v>0</v>
      </c>
      <c r="U6" s="13">
        <v>2.089</v>
      </c>
      <c r="V6" s="13">
        <v>0</v>
      </c>
      <c r="W6" s="13">
        <v>2.1139999999999999</v>
      </c>
    </row>
    <row r="7" spans="1:23" x14ac:dyDescent="0.3">
      <c r="A7" s="11">
        <v>6</v>
      </c>
      <c r="B7" s="17">
        <v>1</v>
      </c>
      <c r="C7" s="26">
        <v>8</v>
      </c>
      <c r="D7" s="23">
        <f>Table11011812[[#Totals],[No. of defects c]]/$H$2</f>
        <v>4.0999999999999996</v>
      </c>
      <c r="E7" s="23">
        <f>Table11011812[[#This Row],[c ̅]]+3*SQRT(Table11011812[[#This Row],[c ̅]])</f>
        <v>10.174537019394975</v>
      </c>
      <c r="F7" s="23">
        <f>IF(Table11011812[[#This Row],[c ̅]]-3*SQRT(Table11011812[[#This Row],[c ̅]])&lt;0,0,Table11011812[[#This Row],[c ̅]]-3*SQRT(Table11011812[[#This Row],[c ̅]]))</f>
        <v>0</v>
      </c>
      <c r="Q7" s="13">
        <v>6</v>
      </c>
      <c r="R7" s="13">
        <v>0.48299999999999998</v>
      </c>
      <c r="S7" s="13">
        <v>1.2869999999999999</v>
      </c>
      <c r="T7" s="13">
        <v>0.03</v>
      </c>
      <c r="U7" s="13">
        <v>1.97</v>
      </c>
      <c r="V7" s="13">
        <v>0</v>
      </c>
      <c r="W7" s="13">
        <v>2.004</v>
      </c>
    </row>
    <row r="8" spans="1:23" x14ac:dyDescent="0.3">
      <c r="A8" s="11">
        <v>7</v>
      </c>
      <c r="B8" s="17">
        <v>1</v>
      </c>
      <c r="C8" s="26">
        <v>2</v>
      </c>
      <c r="D8" s="23">
        <f>Table11011812[[#Totals],[No. of defects c]]/$H$2</f>
        <v>4.0999999999999996</v>
      </c>
      <c r="E8" s="23">
        <f>Table11011812[[#This Row],[c ̅]]+3*SQRT(Table11011812[[#This Row],[c ̅]])</f>
        <v>10.174537019394975</v>
      </c>
      <c r="F8" s="23">
        <f>IF(Table11011812[[#This Row],[c ̅]]-3*SQRT(Table11011812[[#This Row],[c ̅]])&lt;0,0,Table11011812[[#This Row],[c ̅]]-3*SQRT(Table11011812[[#This Row],[c ̅]]))</f>
        <v>0</v>
      </c>
      <c r="Q8" s="13">
        <v>7</v>
      </c>
      <c r="R8" s="13">
        <v>0.41899999999999998</v>
      </c>
      <c r="S8" s="13">
        <v>1.1819999999999999</v>
      </c>
      <c r="T8" s="13">
        <v>0.11799999999999999</v>
      </c>
      <c r="U8" s="13">
        <v>1.8819999999999999</v>
      </c>
      <c r="V8" s="13">
        <v>7.5999999999999998E-2</v>
      </c>
      <c r="W8" s="13">
        <v>1.9239999999999999</v>
      </c>
    </row>
    <row r="9" spans="1:23" x14ac:dyDescent="0.3">
      <c r="A9" s="11">
        <v>8</v>
      </c>
      <c r="B9" s="17">
        <v>1</v>
      </c>
      <c r="C9" s="26">
        <v>3</v>
      </c>
      <c r="D9" s="23">
        <f>Table11011812[[#Totals],[No. of defects c]]/$H$2</f>
        <v>4.0999999999999996</v>
      </c>
      <c r="E9" s="23">
        <f>Table11011812[[#This Row],[c ̅]]+3*SQRT(Table11011812[[#This Row],[c ̅]])</f>
        <v>10.174537019394975</v>
      </c>
      <c r="F9" s="23">
        <f>IF(Table11011812[[#This Row],[c ̅]]-3*SQRT(Table11011812[[#This Row],[c ̅]])&lt;0,0,Table11011812[[#This Row],[c ̅]]-3*SQRT(Table11011812[[#This Row],[c ̅]]))</f>
        <v>0</v>
      </c>
      <c r="Q9" s="13">
        <v>8</v>
      </c>
      <c r="R9" s="13">
        <v>0.373</v>
      </c>
      <c r="S9" s="13">
        <v>1.099</v>
      </c>
      <c r="T9" s="13">
        <v>0.185</v>
      </c>
      <c r="U9" s="13">
        <v>1.8149999999999999</v>
      </c>
      <c r="V9" s="13">
        <v>0.13600000000000001</v>
      </c>
      <c r="W9" s="13">
        <v>1.8640000000000001</v>
      </c>
    </row>
    <row r="10" spans="1:23" x14ac:dyDescent="0.3">
      <c r="A10" s="11">
        <v>9</v>
      </c>
      <c r="B10" s="17">
        <v>1</v>
      </c>
      <c r="C10" s="26">
        <v>4</v>
      </c>
      <c r="D10" s="23">
        <f>Table11011812[[#Totals],[No. of defects c]]/$H$2</f>
        <v>4.0999999999999996</v>
      </c>
      <c r="E10" s="23">
        <f>Table11011812[[#This Row],[c ̅]]+3*SQRT(Table11011812[[#This Row],[c ̅]])</f>
        <v>10.174537019394975</v>
      </c>
      <c r="F10" s="23">
        <f>IF(Table11011812[[#This Row],[c ̅]]-3*SQRT(Table11011812[[#This Row],[c ̅]])&lt;0,0,Table11011812[[#This Row],[c ̅]]-3*SQRT(Table11011812[[#This Row],[c ̅]]))</f>
        <v>0</v>
      </c>
      <c r="Q10" s="13">
        <v>9</v>
      </c>
      <c r="R10" s="13">
        <v>0.33700000000000002</v>
      </c>
      <c r="S10" s="13">
        <v>1.032</v>
      </c>
      <c r="T10" s="13">
        <v>0.23899999999999999</v>
      </c>
      <c r="U10" s="13">
        <v>1.7609999999999999</v>
      </c>
      <c r="V10" s="13">
        <v>0.184</v>
      </c>
      <c r="W10" s="13">
        <v>1.8160000000000001</v>
      </c>
    </row>
    <row r="11" spans="1:23" x14ac:dyDescent="0.3">
      <c r="A11" s="11">
        <v>10</v>
      </c>
      <c r="B11" s="17">
        <v>1</v>
      </c>
      <c r="C11" s="26">
        <v>3</v>
      </c>
      <c r="D11" s="23">
        <f>Table11011812[[#Totals],[No. of defects c]]/$H$2</f>
        <v>4.0999999999999996</v>
      </c>
      <c r="E11" s="23">
        <f>Table11011812[[#This Row],[c ̅]]+3*SQRT(Table11011812[[#This Row],[c ̅]])</f>
        <v>10.174537019394975</v>
      </c>
      <c r="F11" s="23">
        <f>IF(Table11011812[[#This Row],[c ̅]]-3*SQRT(Table11011812[[#This Row],[c ̅]])&lt;0,0,Table11011812[[#This Row],[c ̅]]-3*SQRT(Table11011812[[#This Row],[c ̅]]))</f>
        <v>0</v>
      </c>
      <c r="Q11" s="13">
        <v>10</v>
      </c>
      <c r="R11" s="13">
        <v>0.308</v>
      </c>
      <c r="S11" s="13">
        <v>0.97499999999999998</v>
      </c>
      <c r="T11" s="13">
        <v>0.28399999999999997</v>
      </c>
      <c r="U11" s="13">
        <v>1.716</v>
      </c>
      <c r="V11" s="13">
        <v>0.223</v>
      </c>
      <c r="W11" s="13">
        <v>1.7769999999999999</v>
      </c>
    </row>
    <row r="12" spans="1:23" x14ac:dyDescent="0.3">
      <c r="A12" s="11">
        <v>11</v>
      </c>
      <c r="B12" s="17">
        <v>1</v>
      </c>
      <c r="C12" s="26">
        <v>6</v>
      </c>
      <c r="D12" s="23">
        <f>Table11011812[[#Totals],[No. of defects c]]/$H$2</f>
        <v>4.0999999999999996</v>
      </c>
      <c r="E12" s="23">
        <f>Table11011812[[#This Row],[c ̅]]+3*SQRT(Table11011812[[#This Row],[c ̅]])</f>
        <v>10.174537019394975</v>
      </c>
      <c r="F12" s="23">
        <f>IF(Table11011812[[#This Row],[c ̅]]-3*SQRT(Table11011812[[#This Row],[c ̅]])&lt;0,0,Table11011812[[#This Row],[c ̅]]-3*SQRT(Table11011812[[#This Row],[c ̅]]))</f>
        <v>0</v>
      </c>
      <c r="Q12" s="13">
        <v>11</v>
      </c>
      <c r="R12" s="13">
        <v>0.28499999999999998</v>
      </c>
      <c r="S12" s="13">
        <v>0.92700000000000005</v>
      </c>
      <c r="T12" s="13">
        <v>0.32100000000000001</v>
      </c>
      <c r="U12" s="13">
        <v>1.679</v>
      </c>
      <c r="V12" s="13">
        <v>0.25600000000000001</v>
      </c>
      <c r="W12" s="13">
        <v>1.744</v>
      </c>
    </row>
    <row r="13" spans="1:23" x14ac:dyDescent="0.3">
      <c r="A13" s="11">
        <v>12</v>
      </c>
      <c r="B13" s="17">
        <v>1</v>
      </c>
      <c r="C13" s="26">
        <v>3</v>
      </c>
      <c r="D13" s="23">
        <f>Table11011812[[#Totals],[No. of defects c]]/$H$2</f>
        <v>4.0999999999999996</v>
      </c>
      <c r="E13" s="23">
        <f>Table11011812[[#This Row],[c ̅]]+3*SQRT(Table11011812[[#This Row],[c ̅]])</f>
        <v>10.174537019394975</v>
      </c>
      <c r="F13" s="23">
        <f>IF(Table11011812[[#This Row],[c ̅]]-3*SQRT(Table11011812[[#This Row],[c ̅]])&lt;0,0,Table11011812[[#This Row],[c ̅]]-3*SQRT(Table11011812[[#This Row],[c ̅]]))</f>
        <v>0</v>
      </c>
      <c r="Q13" s="13">
        <v>12</v>
      </c>
      <c r="R13" s="13">
        <v>0.26600000000000001</v>
      </c>
      <c r="S13" s="13">
        <v>0.88600000000000001</v>
      </c>
      <c r="T13" s="13">
        <v>0.35399999999999998</v>
      </c>
      <c r="U13" s="13">
        <v>1.6459999999999999</v>
      </c>
      <c r="V13" s="13">
        <v>0.28299999999999997</v>
      </c>
      <c r="W13" s="13">
        <v>1.7170000000000001</v>
      </c>
    </row>
    <row r="14" spans="1:23" x14ac:dyDescent="0.3">
      <c r="A14" s="11">
        <v>13</v>
      </c>
      <c r="B14" s="17">
        <v>1</v>
      </c>
      <c r="C14" s="26">
        <v>2</v>
      </c>
      <c r="D14" s="23">
        <f>Table11011812[[#Totals],[No. of defects c]]/$H$2</f>
        <v>4.0999999999999996</v>
      </c>
      <c r="E14" s="23">
        <f>Table11011812[[#This Row],[c ̅]]+3*SQRT(Table11011812[[#This Row],[c ̅]])</f>
        <v>10.174537019394975</v>
      </c>
      <c r="F14" s="23">
        <f>IF(Table11011812[[#This Row],[c ̅]]-3*SQRT(Table11011812[[#This Row],[c ̅]])&lt;0,0,Table11011812[[#This Row],[c ̅]]-3*SQRT(Table11011812[[#This Row],[c ̅]]))</f>
        <v>0</v>
      </c>
      <c r="Q14" s="13">
        <v>13</v>
      </c>
      <c r="R14" s="13">
        <v>0.249</v>
      </c>
      <c r="S14" s="13">
        <v>0.85</v>
      </c>
      <c r="T14" s="13">
        <v>0.38200000000000001</v>
      </c>
      <c r="U14" s="13">
        <v>1.6180000000000001</v>
      </c>
      <c r="V14" s="13">
        <v>0.307</v>
      </c>
      <c r="W14" s="13">
        <v>1.6930000000000001</v>
      </c>
    </row>
    <row r="15" spans="1:23" x14ac:dyDescent="0.3">
      <c r="A15" s="11">
        <v>14</v>
      </c>
      <c r="B15" s="17">
        <v>1</v>
      </c>
      <c r="C15" s="26">
        <v>7</v>
      </c>
      <c r="D15" s="23">
        <f>Table11011812[[#Totals],[No. of defects c]]/$H$2</f>
        <v>4.0999999999999996</v>
      </c>
      <c r="E15" s="23">
        <f>Table11011812[[#This Row],[c ̅]]+3*SQRT(Table11011812[[#This Row],[c ̅]])</f>
        <v>10.174537019394975</v>
      </c>
      <c r="F15" s="23">
        <f>IF(Table11011812[[#This Row],[c ̅]]-3*SQRT(Table11011812[[#This Row],[c ̅]])&lt;0,0,Table11011812[[#This Row],[c ̅]]-3*SQRT(Table11011812[[#This Row],[c ̅]]))</f>
        <v>0</v>
      </c>
      <c r="Q15" s="13">
        <v>14</v>
      </c>
      <c r="R15" s="13">
        <v>0.23499999999999999</v>
      </c>
      <c r="S15" s="13">
        <v>0.81699999999999995</v>
      </c>
      <c r="T15" s="13">
        <v>0.40600000000000003</v>
      </c>
      <c r="U15" s="13">
        <v>1.5940000000000001</v>
      </c>
      <c r="V15" s="13">
        <v>0.32800000000000001</v>
      </c>
      <c r="W15" s="13">
        <v>1.6719999999999999</v>
      </c>
    </row>
    <row r="16" spans="1:23" x14ac:dyDescent="0.3">
      <c r="A16" s="11">
        <v>15</v>
      </c>
      <c r="B16" s="17">
        <v>1</v>
      </c>
      <c r="C16" s="26">
        <v>2</v>
      </c>
      <c r="D16" s="23">
        <f>Table11011812[[#Totals],[No. of defects c]]/$H$2</f>
        <v>4.0999999999999996</v>
      </c>
      <c r="E16" s="23">
        <f>Table11011812[[#This Row],[c ̅]]+3*SQRT(Table11011812[[#This Row],[c ̅]])</f>
        <v>10.174537019394975</v>
      </c>
      <c r="F16" s="23">
        <f>IF(Table11011812[[#This Row],[c ̅]]-3*SQRT(Table11011812[[#This Row],[c ̅]])&lt;0,0,Table11011812[[#This Row],[c ̅]]-3*SQRT(Table11011812[[#This Row],[c ̅]]))</f>
        <v>0</v>
      </c>
      <c r="Q16" s="13">
        <v>15</v>
      </c>
      <c r="R16" s="13">
        <v>0.223</v>
      </c>
      <c r="S16" s="13">
        <v>0.78900000000000003</v>
      </c>
      <c r="T16" s="13">
        <v>0.42799999999999999</v>
      </c>
      <c r="U16" s="13">
        <v>1.5720000000000001</v>
      </c>
      <c r="V16" s="13">
        <v>0.34699999999999998</v>
      </c>
      <c r="W16" s="13">
        <v>1.653</v>
      </c>
    </row>
    <row r="17" spans="1:23" x14ac:dyDescent="0.3">
      <c r="A17" s="11">
        <v>16</v>
      </c>
      <c r="B17" s="17">
        <v>1</v>
      </c>
      <c r="C17" s="26">
        <v>4</v>
      </c>
      <c r="D17" s="23">
        <f>Table11011812[[#Totals],[No. of defects c]]/$H$2</f>
        <v>4.0999999999999996</v>
      </c>
      <c r="E17" s="23">
        <f>Table11011812[[#This Row],[c ̅]]+3*SQRT(Table11011812[[#This Row],[c ̅]])</f>
        <v>10.174537019394975</v>
      </c>
      <c r="F17" s="23">
        <f>IF(Table11011812[[#This Row],[c ̅]]-3*SQRT(Table11011812[[#This Row],[c ̅]])&lt;0,0,Table11011812[[#This Row],[c ̅]]-3*SQRT(Table11011812[[#This Row],[c ̅]]))</f>
        <v>0</v>
      </c>
      <c r="Q17" s="13">
        <v>16</v>
      </c>
      <c r="R17" s="13">
        <v>0.21199999999999999</v>
      </c>
      <c r="S17" s="13">
        <v>0.76300000000000001</v>
      </c>
      <c r="T17" s="13">
        <v>0.44800000000000001</v>
      </c>
      <c r="U17" s="13">
        <v>1.552</v>
      </c>
      <c r="V17" s="13">
        <v>0.36299999999999999</v>
      </c>
      <c r="W17" s="13">
        <v>1.637</v>
      </c>
    </row>
    <row r="18" spans="1:23" x14ac:dyDescent="0.3">
      <c r="A18" s="11">
        <v>17</v>
      </c>
      <c r="B18" s="17">
        <v>1</v>
      </c>
      <c r="C18" s="26">
        <v>7</v>
      </c>
      <c r="D18" s="23">
        <f>Table11011812[[#Totals],[No. of defects c]]/$H$2</f>
        <v>4.0999999999999996</v>
      </c>
      <c r="E18" s="23">
        <f>Table11011812[[#This Row],[c ̅]]+3*SQRT(Table11011812[[#This Row],[c ̅]])</f>
        <v>10.174537019394975</v>
      </c>
      <c r="F18" s="23">
        <f>IF(Table11011812[[#This Row],[c ̅]]-3*SQRT(Table11011812[[#This Row],[c ̅]])&lt;0,0,Table11011812[[#This Row],[c ̅]]-3*SQRT(Table11011812[[#This Row],[c ̅]]))</f>
        <v>0</v>
      </c>
      <c r="Q18" s="13">
        <v>17</v>
      </c>
      <c r="R18" s="13">
        <v>0.20300000000000001</v>
      </c>
      <c r="S18" s="13">
        <v>0.73899999999999999</v>
      </c>
      <c r="T18" s="13">
        <v>0.46600000000000003</v>
      </c>
      <c r="U18" s="13">
        <v>1.534</v>
      </c>
      <c r="V18" s="13">
        <v>0.378</v>
      </c>
      <c r="W18" s="13">
        <v>1.6220000000000001</v>
      </c>
    </row>
    <row r="19" spans="1:23" x14ac:dyDescent="0.3">
      <c r="A19" s="11">
        <v>18</v>
      </c>
      <c r="B19" s="17">
        <v>1</v>
      </c>
      <c r="C19" s="26">
        <v>4</v>
      </c>
      <c r="D19" s="23">
        <f>Table11011812[[#Totals],[No. of defects c]]/$H$2</f>
        <v>4.0999999999999996</v>
      </c>
      <c r="E19" s="23">
        <f>Table11011812[[#This Row],[c ̅]]+3*SQRT(Table11011812[[#This Row],[c ̅]])</f>
        <v>10.174537019394975</v>
      </c>
      <c r="F19" s="23">
        <f>IF(Table11011812[[#This Row],[c ̅]]-3*SQRT(Table11011812[[#This Row],[c ̅]])&lt;0,0,Table11011812[[#This Row],[c ̅]]-3*SQRT(Table11011812[[#This Row],[c ̅]]))</f>
        <v>0</v>
      </c>
      <c r="Q19" s="13">
        <v>18</v>
      </c>
      <c r="R19" s="13">
        <v>0.19400000000000001</v>
      </c>
      <c r="S19" s="13">
        <v>0.71799999999999997</v>
      </c>
      <c r="T19" s="13">
        <v>0.48199999999999998</v>
      </c>
      <c r="U19" s="13">
        <v>1.518</v>
      </c>
      <c r="V19" s="13">
        <v>0.39100000000000001</v>
      </c>
      <c r="W19" s="13">
        <v>1.6080000000000001</v>
      </c>
    </row>
    <row r="20" spans="1:23" x14ac:dyDescent="0.3">
      <c r="A20" s="11">
        <v>19</v>
      </c>
      <c r="B20" s="17">
        <v>1</v>
      </c>
      <c r="C20" s="26">
        <v>2</v>
      </c>
      <c r="D20" s="23">
        <f>Table11011812[[#Totals],[No. of defects c]]/$H$2</f>
        <v>4.0999999999999996</v>
      </c>
      <c r="E20" s="23">
        <f>Table11011812[[#This Row],[c ̅]]+3*SQRT(Table11011812[[#This Row],[c ̅]])</f>
        <v>10.174537019394975</v>
      </c>
      <c r="F20" s="23">
        <f>IF(Table11011812[[#This Row],[c ̅]]-3*SQRT(Table11011812[[#This Row],[c ̅]])&lt;0,0,Table11011812[[#This Row],[c ̅]]-3*SQRT(Table11011812[[#This Row],[c ̅]]))</f>
        <v>0</v>
      </c>
      <c r="Q20" s="13">
        <v>19</v>
      </c>
      <c r="R20" s="13">
        <v>0.187</v>
      </c>
      <c r="S20" s="13">
        <v>0.69799999999999995</v>
      </c>
      <c r="T20" s="13">
        <v>0.497</v>
      </c>
      <c r="U20" s="13">
        <v>1.5029999999999999</v>
      </c>
      <c r="V20" s="13">
        <v>0.40300000000000002</v>
      </c>
      <c r="W20" s="13">
        <v>1.597</v>
      </c>
    </row>
    <row r="21" spans="1:23" x14ac:dyDescent="0.3">
      <c r="A21" s="11">
        <v>20</v>
      </c>
      <c r="B21" s="17">
        <v>1</v>
      </c>
      <c r="C21" s="26">
        <v>3</v>
      </c>
      <c r="D21" s="23">
        <f>Table11011812[[#Totals],[No. of defects c]]/$H$2</f>
        <v>4.0999999999999996</v>
      </c>
      <c r="E21" s="23">
        <f>Table11011812[[#This Row],[c ̅]]+3*SQRT(Table11011812[[#This Row],[c ̅]])</f>
        <v>10.174537019394975</v>
      </c>
      <c r="F21" s="23">
        <f>IF(Table11011812[[#This Row],[c ̅]]-3*SQRT(Table11011812[[#This Row],[c ̅]])&lt;0,0,Table11011812[[#This Row],[c ̅]]-3*SQRT(Table11011812[[#This Row],[c ̅]]))</f>
        <v>0</v>
      </c>
      <c r="Q21" s="13"/>
      <c r="R21" s="13"/>
      <c r="S21" s="13"/>
      <c r="T21" s="13"/>
      <c r="U21" s="13"/>
      <c r="V21" s="13"/>
      <c r="W21" s="13"/>
    </row>
    <row r="22" spans="1:23" x14ac:dyDescent="0.3">
      <c r="A22" s="18" t="s">
        <v>31</v>
      </c>
      <c r="B22" s="19">
        <f>SUBTOTAL(109,Table11011812[sample size (1m)])</f>
        <v>20</v>
      </c>
      <c r="C22" s="19">
        <f>SUBTOTAL(109,Table11011812[No. of defects c])</f>
        <v>82</v>
      </c>
      <c r="D22" s="20"/>
      <c r="E22" s="20"/>
      <c r="F22" s="20"/>
    </row>
    <row r="55" spans="10:15" x14ac:dyDescent="0.3">
      <c r="J55" s="10" t="s">
        <v>80</v>
      </c>
      <c r="L55" s="10" t="s">
        <v>81</v>
      </c>
      <c r="M55" s="10" t="s">
        <v>82</v>
      </c>
      <c r="N55" s="10" t="s">
        <v>83</v>
      </c>
      <c r="O55" s="10" t="s">
        <v>84</v>
      </c>
    </row>
    <row r="56" spans="10:15" x14ac:dyDescent="0.3">
      <c r="J56" s="10" t="s">
        <v>32</v>
      </c>
      <c r="K56" s="10" t="s">
        <v>85</v>
      </c>
    </row>
    <row r="57" spans="10:15" x14ac:dyDescent="0.3">
      <c r="K57" s="10" t="s">
        <v>73</v>
      </c>
      <c r="L57" s="10" t="s">
        <v>74</v>
      </c>
      <c r="O57" s="10" t="s">
        <v>74</v>
      </c>
    </row>
    <row r="58" spans="10:15" x14ac:dyDescent="0.3">
      <c r="J58" s="10">
        <v>1</v>
      </c>
      <c r="K58" s="10">
        <v>100</v>
      </c>
      <c r="L58" s="10">
        <v>1</v>
      </c>
      <c r="M58" s="10">
        <v>16</v>
      </c>
      <c r="N58" s="10">
        <v>100</v>
      </c>
      <c r="O58" s="10">
        <v>5</v>
      </c>
    </row>
    <row r="59" spans="10:15" x14ac:dyDescent="0.3">
      <c r="J59" s="10">
        <v>2</v>
      </c>
      <c r="L59" s="10">
        <v>6</v>
      </c>
      <c r="M59" s="10">
        <v>17</v>
      </c>
      <c r="O59" s="10">
        <v>4</v>
      </c>
    </row>
    <row r="60" spans="10:15" x14ac:dyDescent="0.3">
      <c r="J60" s="10">
        <v>3</v>
      </c>
      <c r="L60" s="10">
        <v>5</v>
      </c>
      <c r="M60" s="10">
        <v>18</v>
      </c>
      <c r="O60" s="10">
        <v>1</v>
      </c>
    </row>
    <row r="61" spans="10:15" x14ac:dyDescent="0.3">
      <c r="J61" s="10">
        <v>4</v>
      </c>
      <c r="L61" s="10">
        <v>5</v>
      </c>
      <c r="M61" s="10">
        <v>19</v>
      </c>
      <c r="O61" s="10">
        <v>6</v>
      </c>
    </row>
    <row r="62" spans="10:15" x14ac:dyDescent="0.3">
      <c r="J62" s="10">
        <v>5</v>
      </c>
      <c r="L62" s="10">
        <v>4</v>
      </c>
      <c r="M62" s="10">
        <v>20</v>
      </c>
      <c r="O62" s="10">
        <v>15</v>
      </c>
    </row>
    <row r="63" spans="10:15" x14ac:dyDescent="0.3">
      <c r="J63" s="10">
        <v>6</v>
      </c>
      <c r="L63" s="10">
        <v>3</v>
      </c>
      <c r="M63" s="10">
        <v>21</v>
      </c>
      <c r="O63" s="10">
        <v>12</v>
      </c>
    </row>
    <row r="64" spans="10:15" x14ac:dyDescent="0.3">
      <c r="J64" s="10">
        <v>7</v>
      </c>
      <c r="L64" s="10">
        <v>2</v>
      </c>
      <c r="M64" s="10">
        <v>22</v>
      </c>
      <c r="O64" s="10">
        <v>6</v>
      </c>
    </row>
    <row r="65" spans="10:15" x14ac:dyDescent="0.3">
      <c r="J65" s="10">
        <v>8</v>
      </c>
      <c r="L65" s="10">
        <v>2</v>
      </c>
      <c r="M65" s="10">
        <v>23</v>
      </c>
      <c r="O65" s="10">
        <v>3</v>
      </c>
    </row>
    <row r="66" spans="10:15" x14ac:dyDescent="0.3">
      <c r="J66" s="10">
        <v>9</v>
      </c>
      <c r="L66" s="10">
        <v>4</v>
      </c>
      <c r="M66" s="10">
        <v>24</v>
      </c>
      <c r="O66" s="10">
        <v>4</v>
      </c>
    </row>
    <row r="67" spans="10:15" x14ac:dyDescent="0.3">
      <c r="J67" s="10">
        <v>10</v>
      </c>
      <c r="L67" s="10">
        <v>6</v>
      </c>
      <c r="M67" s="10">
        <v>25</v>
      </c>
      <c r="O67" s="10">
        <v>3</v>
      </c>
    </row>
    <row r="68" spans="10:15" x14ac:dyDescent="0.3">
      <c r="J68" s="10">
        <v>11</v>
      </c>
      <c r="L68" s="10">
        <v>2</v>
      </c>
      <c r="M68" s="10">
        <v>26</v>
      </c>
      <c r="O68" s="10">
        <v>3</v>
      </c>
    </row>
    <row r="69" spans="10:15" x14ac:dyDescent="0.3">
      <c r="J69" s="10">
        <v>12</v>
      </c>
      <c r="L69" s="10">
        <v>1</v>
      </c>
      <c r="M69" s="10">
        <v>27</v>
      </c>
      <c r="O69" s="10">
        <v>2</v>
      </c>
    </row>
    <row r="70" spans="10:15" x14ac:dyDescent="0.3">
      <c r="J70" s="10">
        <v>13</v>
      </c>
      <c r="L70" s="10">
        <v>3</v>
      </c>
      <c r="M70" s="10">
        <v>28</v>
      </c>
      <c r="O70" s="10">
        <v>5</v>
      </c>
    </row>
    <row r="71" spans="10:15" x14ac:dyDescent="0.3">
      <c r="J71" s="10">
        <v>14</v>
      </c>
      <c r="L71" s="10">
        <v>1</v>
      </c>
      <c r="M71" s="10">
        <v>29</v>
      </c>
      <c r="O71" s="10">
        <v>7</v>
      </c>
    </row>
    <row r="72" spans="10:15" x14ac:dyDescent="0.3">
      <c r="J72" s="10">
        <v>15</v>
      </c>
      <c r="L72" s="10">
        <v>4</v>
      </c>
      <c r="M72" s="10">
        <v>30</v>
      </c>
      <c r="O72" s="10">
        <v>4</v>
      </c>
    </row>
    <row r="73" spans="10:15" x14ac:dyDescent="0.3">
      <c r="J73" s="10">
        <v>16</v>
      </c>
      <c r="L73" s="10">
        <v>5</v>
      </c>
    </row>
    <row r="74" spans="10:15" x14ac:dyDescent="0.3">
      <c r="J74" s="10">
        <v>17</v>
      </c>
      <c r="L74" s="10">
        <v>4</v>
      </c>
    </row>
    <row r="75" spans="10:15" x14ac:dyDescent="0.3">
      <c r="J75" s="10">
        <v>18</v>
      </c>
      <c r="L75" s="10">
        <v>1</v>
      </c>
    </row>
    <row r="76" spans="10:15" x14ac:dyDescent="0.3">
      <c r="J76" s="10">
        <v>19</v>
      </c>
      <c r="L76" s="10">
        <v>6</v>
      </c>
    </row>
    <row r="77" spans="10:15" x14ac:dyDescent="0.3">
      <c r="J77" s="10">
        <v>20</v>
      </c>
      <c r="L77" s="10">
        <v>15</v>
      </c>
    </row>
    <row r="78" spans="10:15" x14ac:dyDescent="0.3">
      <c r="J78" s="10">
        <v>21</v>
      </c>
      <c r="L78" s="10">
        <v>12</v>
      </c>
    </row>
    <row r="79" spans="10:15" x14ac:dyDescent="0.3">
      <c r="J79" s="10">
        <v>22</v>
      </c>
      <c r="L79" s="10">
        <v>6</v>
      </c>
    </row>
    <row r="80" spans="10:15" x14ac:dyDescent="0.3">
      <c r="J80" s="10">
        <v>23</v>
      </c>
      <c r="L80" s="10">
        <v>3</v>
      </c>
    </row>
    <row r="81" spans="10:12" x14ac:dyDescent="0.3">
      <c r="J81" s="10">
        <v>24</v>
      </c>
      <c r="L81" s="10">
        <v>4</v>
      </c>
    </row>
    <row r="82" spans="10:12" x14ac:dyDescent="0.3">
      <c r="J82" s="10">
        <v>25</v>
      </c>
      <c r="L82" s="10">
        <v>3</v>
      </c>
    </row>
    <row r="83" spans="10:12" x14ac:dyDescent="0.3">
      <c r="J83" s="10">
        <v>26</v>
      </c>
      <c r="L83" s="10">
        <v>3</v>
      </c>
    </row>
    <row r="84" spans="10:12" x14ac:dyDescent="0.3">
      <c r="J84" s="10">
        <v>27</v>
      </c>
      <c r="L84" s="10">
        <v>2</v>
      </c>
    </row>
    <row r="85" spans="10:12" x14ac:dyDescent="0.3">
      <c r="J85" s="10">
        <v>28</v>
      </c>
      <c r="L85" s="10">
        <v>5</v>
      </c>
    </row>
    <row r="86" spans="10:12" x14ac:dyDescent="0.3">
      <c r="J86" s="10">
        <v>29</v>
      </c>
      <c r="L86" s="10">
        <v>7</v>
      </c>
    </row>
    <row r="87" spans="10:12" x14ac:dyDescent="0.3">
      <c r="J87" s="10">
        <v>30</v>
      </c>
      <c r="L87" s="10">
        <v>4</v>
      </c>
    </row>
  </sheetData>
  <mergeCells count="4">
    <mergeCell ref="Q1:Q2"/>
    <mergeCell ref="R1:S1"/>
    <mergeCell ref="T1:U1"/>
    <mergeCell ref="V1:W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7A11-CE6C-4830-82E0-067FDCDA1758}">
  <sheetPr codeName="Sheet14"/>
  <dimension ref="A1:L51"/>
  <sheetViews>
    <sheetView workbookViewId="0">
      <pane ySplit="1" topLeftCell="A11" activePane="bottomLeft" state="frozen"/>
      <selection pane="bottomLeft" activeCell="B7" sqref="B7"/>
    </sheetView>
  </sheetViews>
  <sheetFormatPr defaultRowHeight="14.4" x14ac:dyDescent="0.3"/>
  <cols>
    <col min="1" max="1" width="10.44140625" customWidth="1"/>
    <col min="2" max="2" width="30.88671875" style="31" customWidth="1"/>
    <col min="3" max="3" width="30.88671875" customWidth="1"/>
    <col min="4" max="7" width="0" hidden="1" customWidth="1"/>
    <col min="11" max="11" width="8.109375" style="33" bestFit="1" customWidth="1"/>
    <col min="12" max="12" width="23.88671875" style="33" bestFit="1" customWidth="1"/>
  </cols>
  <sheetData>
    <row r="1" spans="1:12" s="27" customFormat="1" ht="39" customHeight="1" x14ac:dyDescent="0.3">
      <c r="A1" s="28" t="s">
        <v>96</v>
      </c>
      <c r="B1" s="29" t="s">
        <v>97</v>
      </c>
      <c r="C1" s="28" t="s">
        <v>98</v>
      </c>
      <c r="D1" s="28" t="s">
        <v>99</v>
      </c>
      <c r="E1" s="28" t="s">
        <v>100</v>
      </c>
      <c r="F1" s="28" t="s">
        <v>101</v>
      </c>
      <c r="G1" s="28" t="s">
        <v>102</v>
      </c>
      <c r="K1" s="32"/>
      <c r="L1" s="32"/>
    </row>
    <row r="2" spans="1:12" x14ac:dyDescent="0.3">
      <c r="A2" s="1">
        <v>1</v>
      </c>
      <c r="B2" s="30">
        <v>8.1</v>
      </c>
      <c r="C2" s="1">
        <v>1046</v>
      </c>
      <c r="D2" s="1" t="str">
        <f>Table12[[#This Row],[The Speed ]]&amp;"-"&amp;Table12[[#This Row],[Length (mm)]]</f>
        <v>8.1-1046</v>
      </c>
      <c r="E2" s="1" t="str">
        <f>IF(COUNTIF(D:D, D2)&gt;1, Table12[[#This Row],[The Speed ]], "")</f>
        <v/>
      </c>
      <c r="F2" s="1" t="str">
        <f>IF(COUNTIF(D:D, D2)&gt;1, Table12[[#This Row],[Length (mm)]], "")</f>
        <v/>
      </c>
      <c r="G2" s="1">
        <f>IF(Table12[[#This Row],[Repeat y]]="",0,1)</f>
        <v>0</v>
      </c>
      <c r="K2" s="33" cm="1">
        <f t="array" ref="K2:L5">_xlfn._xlws.FILTER(E2:F50,E2:E50&lt;&gt;"")</f>
        <v>7.6</v>
      </c>
      <c r="L2" s="33">
        <v>1028</v>
      </c>
    </row>
    <row r="3" spans="1:12" x14ac:dyDescent="0.3">
      <c r="A3" s="1">
        <v>2</v>
      </c>
      <c r="B3" s="30">
        <v>7.7</v>
      </c>
      <c r="C3" s="1">
        <v>1030</v>
      </c>
      <c r="D3" s="1" t="str">
        <f>Table12[[#This Row],[The Speed ]]&amp;"-"&amp;Table12[[#This Row],[Length (mm)]]</f>
        <v>7.7-1030</v>
      </c>
      <c r="E3" s="1" t="str">
        <f>IF(COUNTIF(D:D, D3)&gt;1, Table12[[#This Row],[The Speed ]], "")</f>
        <v/>
      </c>
      <c r="F3" s="1" t="str">
        <f>IF(COUNTIF(D:D, D3)&gt;1, Table12[[#This Row],[Length (mm)]], "")</f>
        <v/>
      </c>
      <c r="G3" s="1">
        <f>IF(Table12[[#This Row],[Repeat y]]="",0,1)</f>
        <v>0</v>
      </c>
      <c r="K3" s="33">
        <v>6.3</v>
      </c>
      <c r="L3" s="33">
        <v>1020</v>
      </c>
    </row>
    <row r="4" spans="1:12" x14ac:dyDescent="0.3">
      <c r="A4" s="1">
        <v>3</v>
      </c>
      <c r="B4" s="30">
        <v>7.4</v>
      </c>
      <c r="C4" s="1">
        <v>1039</v>
      </c>
      <c r="D4" s="1" t="str">
        <f>Table12[[#This Row],[The Speed ]]&amp;"-"&amp;Table12[[#This Row],[Length (mm)]]</f>
        <v>7.4-1039</v>
      </c>
      <c r="E4" s="1" t="str">
        <f>IF(COUNTIF(D:D, D4)&gt;1, Table12[[#This Row],[The Speed ]], "")</f>
        <v/>
      </c>
      <c r="F4" s="1" t="str">
        <f>IF(COUNTIF(D:D, D4)&gt;1, Table12[[#This Row],[Length (mm)]], "")</f>
        <v/>
      </c>
      <c r="G4" s="1">
        <f>IF(Table12[[#This Row],[Repeat y]]="",0,1)</f>
        <v>0</v>
      </c>
      <c r="K4" s="33">
        <v>6.3</v>
      </c>
      <c r="L4" s="33">
        <v>1020</v>
      </c>
    </row>
    <row r="5" spans="1:12" x14ac:dyDescent="0.3">
      <c r="A5" s="1">
        <v>4</v>
      </c>
      <c r="B5" s="30">
        <v>5.8</v>
      </c>
      <c r="C5" s="1">
        <v>1027</v>
      </c>
      <c r="D5" s="1" t="str">
        <f>Table12[[#This Row],[The Speed ]]&amp;"-"&amp;Table12[[#This Row],[Length (mm)]]</f>
        <v>5.8-1027</v>
      </c>
      <c r="E5" s="1" t="str">
        <f>IF(COUNTIF(D:D, D5)&gt;1, Table12[[#This Row],[The Speed ]], "")</f>
        <v/>
      </c>
      <c r="F5" s="1" t="str">
        <f>IF(COUNTIF(D:D, D5)&gt;1, Table12[[#This Row],[Length (mm)]], "")</f>
        <v/>
      </c>
      <c r="G5" s="1">
        <f>IF(Table12[[#This Row],[Repeat y]]="",0,1)</f>
        <v>0</v>
      </c>
      <c r="K5" s="33">
        <v>7.6</v>
      </c>
      <c r="L5" s="33">
        <v>1028</v>
      </c>
    </row>
    <row r="6" spans="1:12" x14ac:dyDescent="0.3">
      <c r="A6" s="1">
        <v>5</v>
      </c>
      <c r="B6" s="30">
        <v>7.6</v>
      </c>
      <c r="C6" s="1">
        <v>1028</v>
      </c>
      <c r="D6" s="1" t="str">
        <f>Table12[[#This Row],[The Speed ]]&amp;"-"&amp;Table12[[#This Row],[Length (mm)]]</f>
        <v>7.6-1028</v>
      </c>
      <c r="E6" s="1">
        <f>IF(COUNTIF(D:D, D6)&gt;1, Table12[[#This Row],[The Speed ]], "")</f>
        <v>7.6</v>
      </c>
      <c r="F6" s="1">
        <f>IF(COUNTIF(D:D, D6)&gt;1, Table12[[#This Row],[Length (mm)]], "")</f>
        <v>1028</v>
      </c>
      <c r="G6" s="1">
        <f>IF(Table12[[#This Row],[Repeat y]]="",0,1)</f>
        <v>1</v>
      </c>
    </row>
    <row r="7" spans="1:12" x14ac:dyDescent="0.3">
      <c r="A7" s="1">
        <v>6</v>
      </c>
      <c r="B7" s="30">
        <v>6.8</v>
      </c>
      <c r="C7" s="1">
        <v>1025</v>
      </c>
      <c r="D7" s="1" t="str">
        <f>Table12[[#This Row],[The Speed ]]&amp;"-"&amp;Table12[[#This Row],[Length (mm)]]</f>
        <v>6.8-1025</v>
      </c>
      <c r="E7" s="1" t="str">
        <f>IF(COUNTIF(D:D, D7)&gt;1, Table12[[#This Row],[The Speed ]], "")</f>
        <v/>
      </c>
      <c r="F7" s="1" t="str">
        <f>IF(COUNTIF(D:D, D7)&gt;1, Table12[[#This Row],[Length (mm)]], "")</f>
        <v/>
      </c>
      <c r="G7" s="1">
        <f>IF(Table12[[#This Row],[Repeat y]]="",0,1)</f>
        <v>0</v>
      </c>
    </row>
    <row r="8" spans="1:12" x14ac:dyDescent="0.3">
      <c r="A8" s="1">
        <v>7</v>
      </c>
      <c r="B8" s="30">
        <v>7.9</v>
      </c>
      <c r="C8" s="1">
        <v>1035</v>
      </c>
      <c r="D8" s="1" t="str">
        <f>Table12[[#This Row],[The Speed ]]&amp;"-"&amp;Table12[[#This Row],[Length (mm)]]</f>
        <v>7.9-1035</v>
      </c>
      <c r="E8" s="1" t="str">
        <f>IF(COUNTIF(D:D, D8)&gt;1, Table12[[#This Row],[The Speed ]], "")</f>
        <v/>
      </c>
      <c r="F8" s="1" t="str">
        <f>IF(COUNTIF(D:D, D8)&gt;1, Table12[[#This Row],[Length (mm)]], "")</f>
        <v/>
      </c>
      <c r="G8" s="1">
        <f>IF(Table12[[#This Row],[Repeat y]]="",0,1)</f>
        <v>0</v>
      </c>
    </row>
    <row r="9" spans="1:12" x14ac:dyDescent="0.3">
      <c r="A9" s="1">
        <v>8</v>
      </c>
      <c r="B9" s="30">
        <v>6.3</v>
      </c>
      <c r="C9" s="1">
        <v>1015</v>
      </c>
      <c r="D9" s="1" t="str">
        <f>Table12[[#This Row],[The Speed ]]&amp;"-"&amp;Table12[[#This Row],[Length (mm)]]</f>
        <v>6.3-1015</v>
      </c>
      <c r="E9" s="1" t="str">
        <f>IF(COUNTIF(D:D, D9)&gt;1, Table12[[#This Row],[The Speed ]], "")</f>
        <v/>
      </c>
      <c r="F9" s="1" t="str">
        <f>IF(COUNTIF(D:D, D9)&gt;1, Table12[[#This Row],[Length (mm)]], "")</f>
        <v/>
      </c>
      <c r="G9" s="1">
        <f>IF(Table12[[#This Row],[Repeat y]]="",0,1)</f>
        <v>0</v>
      </c>
    </row>
    <row r="10" spans="1:12" x14ac:dyDescent="0.3">
      <c r="A10" s="1">
        <v>9</v>
      </c>
      <c r="B10" s="30">
        <v>7</v>
      </c>
      <c r="C10" s="1">
        <v>1038</v>
      </c>
      <c r="D10" s="1" t="str">
        <f>Table12[[#This Row],[The Speed ]]&amp;"-"&amp;Table12[[#This Row],[Length (mm)]]</f>
        <v>7-1038</v>
      </c>
      <c r="E10" s="1" t="str">
        <f>IF(COUNTIF(D:D, D10)&gt;1, Table12[[#This Row],[The Speed ]], "")</f>
        <v/>
      </c>
      <c r="F10" s="1" t="str">
        <f>IF(COUNTIF(D:D, D10)&gt;1, Table12[[#This Row],[Length (mm)]], "")</f>
        <v/>
      </c>
      <c r="G10" s="1">
        <f>IF(Table12[[#This Row],[Repeat y]]="",0,1)</f>
        <v>0</v>
      </c>
    </row>
    <row r="11" spans="1:12" x14ac:dyDescent="0.3">
      <c r="A11" s="1">
        <v>10</v>
      </c>
      <c r="B11" s="30">
        <v>8</v>
      </c>
      <c r="C11" s="1">
        <v>1036</v>
      </c>
      <c r="D11" s="1" t="str">
        <f>Table12[[#This Row],[The Speed ]]&amp;"-"&amp;Table12[[#This Row],[Length (mm)]]</f>
        <v>8-1036</v>
      </c>
      <c r="E11" s="1" t="str">
        <f>IF(COUNTIF(D:D, D11)&gt;1, Table12[[#This Row],[The Speed ]], "")</f>
        <v/>
      </c>
      <c r="F11" s="1" t="str">
        <f>IF(COUNTIF(D:D, D11)&gt;1, Table12[[#This Row],[Length (mm)]], "")</f>
        <v/>
      </c>
      <c r="G11" s="1">
        <f>IF(Table12[[#This Row],[Repeat y]]="",0,1)</f>
        <v>0</v>
      </c>
    </row>
    <row r="12" spans="1:12" x14ac:dyDescent="0.3">
      <c r="A12" s="1">
        <v>11</v>
      </c>
      <c r="B12" s="30">
        <v>8</v>
      </c>
      <c r="C12" s="1">
        <v>1026</v>
      </c>
      <c r="D12" s="1" t="str">
        <f>Table12[[#This Row],[The Speed ]]&amp;"-"&amp;Table12[[#This Row],[Length (mm)]]</f>
        <v>8-1026</v>
      </c>
      <c r="E12" s="1" t="str">
        <f>IF(COUNTIF(D:D, D12)&gt;1, Table12[[#This Row],[The Speed ]], "")</f>
        <v/>
      </c>
      <c r="F12" s="1" t="str">
        <f>IF(COUNTIF(D:D, D12)&gt;1, Table12[[#This Row],[Length (mm)]], "")</f>
        <v/>
      </c>
      <c r="G12" s="1">
        <f>IF(Table12[[#This Row],[Repeat y]]="",0,1)</f>
        <v>0</v>
      </c>
    </row>
    <row r="13" spans="1:12" x14ac:dyDescent="0.3">
      <c r="A13" s="1">
        <v>12</v>
      </c>
      <c r="B13" s="30">
        <v>8</v>
      </c>
      <c r="C13" s="1">
        <v>1041</v>
      </c>
      <c r="D13" s="1" t="str">
        <f>Table12[[#This Row],[The Speed ]]&amp;"-"&amp;Table12[[#This Row],[Length (mm)]]</f>
        <v>8-1041</v>
      </c>
      <c r="E13" s="1" t="str">
        <f>IF(COUNTIF(D:D, D13)&gt;1, Table12[[#This Row],[The Speed ]], "")</f>
        <v/>
      </c>
      <c r="F13" s="1" t="str">
        <f>IF(COUNTIF(D:D, D13)&gt;1, Table12[[#This Row],[Length (mm)]], "")</f>
        <v/>
      </c>
      <c r="G13" s="1">
        <f>IF(Table12[[#This Row],[Repeat y]]="",0,1)</f>
        <v>0</v>
      </c>
    </row>
    <row r="14" spans="1:12" x14ac:dyDescent="0.3">
      <c r="A14" s="1">
        <v>13</v>
      </c>
      <c r="B14" s="30">
        <v>7.2</v>
      </c>
      <c r="C14" s="1">
        <v>1029</v>
      </c>
      <c r="D14" s="1" t="str">
        <f>Table12[[#This Row],[The Speed ]]&amp;"-"&amp;Table12[[#This Row],[Length (mm)]]</f>
        <v>7.2-1029</v>
      </c>
      <c r="E14" s="1" t="str">
        <f>IF(COUNTIF(D:D, D14)&gt;1, Table12[[#This Row],[The Speed ]], "")</f>
        <v/>
      </c>
      <c r="F14" s="1" t="str">
        <f>IF(COUNTIF(D:D, D14)&gt;1, Table12[[#This Row],[Length (mm)]], "")</f>
        <v/>
      </c>
      <c r="G14" s="1">
        <f>IF(Table12[[#This Row],[Repeat y]]="",0,1)</f>
        <v>0</v>
      </c>
    </row>
    <row r="15" spans="1:12" x14ac:dyDescent="0.3">
      <c r="A15" s="1">
        <v>14</v>
      </c>
      <c r="B15" s="30">
        <v>6</v>
      </c>
      <c r="C15" s="1">
        <v>1010</v>
      </c>
      <c r="D15" s="1" t="str">
        <f>Table12[[#This Row],[The Speed ]]&amp;"-"&amp;Table12[[#This Row],[Length (mm)]]</f>
        <v>6-1010</v>
      </c>
      <c r="E15" s="1" t="str">
        <f>IF(COUNTIF(D:D, D15)&gt;1, Table12[[#This Row],[The Speed ]], "")</f>
        <v/>
      </c>
      <c r="F15" s="1" t="str">
        <f>IF(COUNTIF(D:D, D15)&gt;1, Table12[[#This Row],[Length (mm)]], "")</f>
        <v/>
      </c>
      <c r="G15" s="1">
        <f>IF(Table12[[#This Row],[Repeat y]]="",0,1)</f>
        <v>0</v>
      </c>
    </row>
    <row r="16" spans="1:12" x14ac:dyDescent="0.3">
      <c r="A16" s="1">
        <v>15</v>
      </c>
      <c r="B16" s="30">
        <v>6.3</v>
      </c>
      <c r="C16" s="1">
        <v>1020</v>
      </c>
      <c r="D16" s="1" t="str">
        <f>Table12[[#This Row],[The Speed ]]&amp;"-"&amp;Table12[[#This Row],[Length (mm)]]</f>
        <v>6.3-1020</v>
      </c>
      <c r="E16" s="1">
        <f>IF(COUNTIF(D:D, D16)&gt;1, Table12[[#This Row],[The Speed ]], "")</f>
        <v>6.3</v>
      </c>
      <c r="F16" s="1">
        <f>IF(COUNTIF(D:D, D16)&gt;1, Table12[[#This Row],[Length (mm)]], "")</f>
        <v>1020</v>
      </c>
      <c r="G16" s="1">
        <f>IF(Table12[[#This Row],[Repeat y]]="",0,1)</f>
        <v>1</v>
      </c>
    </row>
    <row r="17" spans="1:7" x14ac:dyDescent="0.3">
      <c r="A17" s="1">
        <v>16</v>
      </c>
      <c r="B17" s="30">
        <v>6.7</v>
      </c>
      <c r="C17" s="1">
        <v>1024</v>
      </c>
      <c r="D17" s="1" t="str">
        <f>Table12[[#This Row],[The Speed ]]&amp;"-"&amp;Table12[[#This Row],[Length (mm)]]</f>
        <v>6.7-1024</v>
      </c>
      <c r="E17" s="1" t="str">
        <f>IF(COUNTIF(D:D, D17)&gt;1, Table12[[#This Row],[The Speed ]], "")</f>
        <v/>
      </c>
      <c r="F17" s="1" t="str">
        <f>IF(COUNTIF(D:D, D17)&gt;1, Table12[[#This Row],[Length (mm)]], "")</f>
        <v/>
      </c>
      <c r="G17" s="1">
        <f>IF(Table12[[#This Row],[Repeat y]]="",0,1)</f>
        <v>0</v>
      </c>
    </row>
    <row r="18" spans="1:7" x14ac:dyDescent="0.3">
      <c r="A18" s="1">
        <v>17</v>
      </c>
      <c r="B18" s="30">
        <v>8.1999999999999993</v>
      </c>
      <c r="C18" s="1">
        <v>1034</v>
      </c>
      <c r="D18" s="1" t="str">
        <f>Table12[[#This Row],[The Speed ]]&amp;"-"&amp;Table12[[#This Row],[Length (mm)]]</f>
        <v>8.2-1034</v>
      </c>
      <c r="E18" s="1" t="str">
        <f>IF(COUNTIF(D:D, D18)&gt;1, Table12[[#This Row],[The Speed ]], "")</f>
        <v/>
      </c>
      <c r="F18" s="1" t="str">
        <f>IF(COUNTIF(D:D, D18)&gt;1, Table12[[#This Row],[Length (mm)]], "")</f>
        <v/>
      </c>
      <c r="G18" s="1">
        <f>IF(Table12[[#This Row],[Repeat y]]="",0,1)</f>
        <v>0</v>
      </c>
    </row>
    <row r="19" spans="1:7" x14ac:dyDescent="0.3">
      <c r="A19" s="1">
        <v>18</v>
      </c>
      <c r="B19" s="30">
        <v>8.1</v>
      </c>
      <c r="C19" s="1">
        <v>1036</v>
      </c>
      <c r="D19" s="1" t="str">
        <f>Table12[[#This Row],[The Speed ]]&amp;"-"&amp;Table12[[#This Row],[Length (mm)]]</f>
        <v>8.1-1036</v>
      </c>
      <c r="E19" s="1" t="str">
        <f>IF(COUNTIF(D:D, D19)&gt;1, Table12[[#This Row],[The Speed ]], "")</f>
        <v/>
      </c>
      <c r="F19" s="1" t="str">
        <f>IF(COUNTIF(D:D, D19)&gt;1, Table12[[#This Row],[Length (mm)]], "")</f>
        <v/>
      </c>
      <c r="G19" s="1">
        <f>IF(Table12[[#This Row],[Repeat y]]="",0,1)</f>
        <v>0</v>
      </c>
    </row>
    <row r="20" spans="1:7" x14ac:dyDescent="0.3">
      <c r="A20" s="1">
        <v>19</v>
      </c>
      <c r="B20" s="30">
        <v>6.6</v>
      </c>
      <c r="C20" s="1">
        <v>1023</v>
      </c>
      <c r="D20" s="1" t="str">
        <f>Table12[[#This Row],[The Speed ]]&amp;"-"&amp;Table12[[#This Row],[Length (mm)]]</f>
        <v>6.6-1023</v>
      </c>
      <c r="E20" s="1" t="str">
        <f>IF(COUNTIF(D:D, D20)&gt;1, Table12[[#This Row],[The Speed ]], "")</f>
        <v/>
      </c>
      <c r="F20" s="1" t="str">
        <f>IF(COUNTIF(D:D, D20)&gt;1, Table12[[#This Row],[Length (mm)]], "")</f>
        <v/>
      </c>
      <c r="G20" s="1">
        <f>IF(Table12[[#This Row],[Repeat y]]="",0,1)</f>
        <v>0</v>
      </c>
    </row>
    <row r="21" spans="1:7" x14ac:dyDescent="0.3">
      <c r="A21" s="1">
        <v>20</v>
      </c>
      <c r="B21" s="30">
        <v>6.5</v>
      </c>
      <c r="C21" s="1">
        <v>1011</v>
      </c>
      <c r="D21" s="1" t="str">
        <f>Table12[[#This Row],[The Speed ]]&amp;"-"&amp;Table12[[#This Row],[Length (mm)]]</f>
        <v>6.5-1011</v>
      </c>
      <c r="E21" s="1" t="str">
        <f>IF(COUNTIF(D:D, D21)&gt;1, Table12[[#This Row],[The Speed ]], "")</f>
        <v/>
      </c>
      <c r="F21" s="1" t="str">
        <f>IF(COUNTIF(D:D, D21)&gt;1, Table12[[#This Row],[Length (mm)]], "")</f>
        <v/>
      </c>
      <c r="G21" s="1">
        <f>IF(Table12[[#This Row],[Repeat y]]="",0,1)</f>
        <v>0</v>
      </c>
    </row>
    <row r="22" spans="1:7" x14ac:dyDescent="0.3">
      <c r="A22" s="1">
        <v>21</v>
      </c>
      <c r="B22" s="30">
        <v>8.5</v>
      </c>
      <c r="C22" s="1">
        <v>1030</v>
      </c>
      <c r="D22" s="1" t="str">
        <f>Table12[[#This Row],[The Speed ]]&amp;"-"&amp;Table12[[#This Row],[Length (mm)]]</f>
        <v>8.5-1030</v>
      </c>
      <c r="E22" s="1" t="str">
        <f>IF(COUNTIF(D:D, D22)&gt;1, Table12[[#This Row],[The Speed ]], "")</f>
        <v/>
      </c>
      <c r="F22" s="1" t="str">
        <f>IF(COUNTIF(D:D, D22)&gt;1, Table12[[#This Row],[Length (mm)]], "")</f>
        <v/>
      </c>
      <c r="G22" s="1">
        <f>IF(Table12[[#This Row],[Repeat y]]="",0,1)</f>
        <v>0</v>
      </c>
    </row>
    <row r="23" spans="1:7" x14ac:dyDescent="0.3">
      <c r="A23" s="1">
        <v>22</v>
      </c>
      <c r="B23" s="30">
        <v>7.4</v>
      </c>
      <c r="C23" s="1">
        <v>1014</v>
      </c>
      <c r="D23" s="1" t="str">
        <f>Table12[[#This Row],[The Speed ]]&amp;"-"&amp;Table12[[#This Row],[Length (mm)]]</f>
        <v>7.4-1014</v>
      </c>
      <c r="E23" s="1" t="str">
        <f>IF(COUNTIF(D:D, D23)&gt;1, Table12[[#This Row],[The Speed ]], "")</f>
        <v/>
      </c>
      <c r="F23" s="1" t="str">
        <f>IF(COUNTIF(D:D, D23)&gt;1, Table12[[#This Row],[Length (mm)]], "")</f>
        <v/>
      </c>
      <c r="G23" s="1">
        <f>IF(Table12[[#This Row],[Repeat y]]="",0,1)</f>
        <v>0</v>
      </c>
    </row>
    <row r="24" spans="1:7" x14ac:dyDescent="0.3">
      <c r="A24" s="1">
        <v>23</v>
      </c>
      <c r="B24" s="30">
        <v>7.2</v>
      </c>
      <c r="C24" s="1">
        <v>1030</v>
      </c>
      <c r="D24" s="1" t="str">
        <f>Table12[[#This Row],[The Speed ]]&amp;"-"&amp;Table12[[#This Row],[Length (mm)]]</f>
        <v>7.2-1030</v>
      </c>
      <c r="E24" s="1" t="str">
        <f>IF(COUNTIF(D:D, D24)&gt;1, Table12[[#This Row],[The Speed ]], "")</f>
        <v/>
      </c>
      <c r="F24" s="1" t="str">
        <f>IF(COUNTIF(D:D, D24)&gt;1, Table12[[#This Row],[Length (mm)]], "")</f>
        <v/>
      </c>
      <c r="G24" s="1">
        <f>IF(Table12[[#This Row],[Repeat y]]="",0,1)</f>
        <v>0</v>
      </c>
    </row>
    <row r="25" spans="1:7" x14ac:dyDescent="0.3">
      <c r="A25" s="1">
        <v>24</v>
      </c>
      <c r="B25" s="30">
        <v>5.6</v>
      </c>
      <c r="C25" s="1">
        <v>1016</v>
      </c>
      <c r="D25" s="1" t="str">
        <f>Table12[[#This Row],[The Speed ]]&amp;"-"&amp;Table12[[#This Row],[Length (mm)]]</f>
        <v>5.6-1016</v>
      </c>
      <c r="E25" s="1" t="str">
        <f>IF(COUNTIF(D:D, D25)&gt;1, Table12[[#This Row],[The Speed ]], "")</f>
        <v/>
      </c>
      <c r="F25" s="1" t="str">
        <f>IF(COUNTIF(D:D, D25)&gt;1, Table12[[#This Row],[Length (mm)]], "")</f>
        <v/>
      </c>
      <c r="G25" s="1">
        <f>IF(Table12[[#This Row],[Repeat y]]="",0,1)</f>
        <v>0</v>
      </c>
    </row>
    <row r="26" spans="1:7" x14ac:dyDescent="0.3">
      <c r="A26" s="1">
        <v>25</v>
      </c>
      <c r="B26" s="30">
        <v>6.3</v>
      </c>
      <c r="C26" s="1">
        <v>1020</v>
      </c>
      <c r="D26" s="1" t="str">
        <f>Table12[[#This Row],[The Speed ]]&amp;"-"&amp;Table12[[#This Row],[Length (mm)]]</f>
        <v>6.3-1020</v>
      </c>
      <c r="E26" s="1">
        <f>IF(COUNTIF(D:D, D26)&gt;1, Table12[[#This Row],[The Speed ]], "")</f>
        <v>6.3</v>
      </c>
      <c r="F26" s="1">
        <f>IF(COUNTIF(D:D, D26)&gt;1, Table12[[#This Row],[Length (mm)]], "")</f>
        <v>1020</v>
      </c>
      <c r="G26" s="1">
        <f>IF(Table12[[#This Row],[Repeat y]]="",0,1)</f>
        <v>1</v>
      </c>
    </row>
    <row r="27" spans="1:7" x14ac:dyDescent="0.3">
      <c r="A27" s="1">
        <v>26</v>
      </c>
      <c r="B27" s="30">
        <v>8</v>
      </c>
      <c r="C27" s="1">
        <v>1040</v>
      </c>
      <c r="D27" s="1" t="str">
        <f>Table12[[#This Row],[The Speed ]]&amp;"-"&amp;Table12[[#This Row],[Length (mm)]]</f>
        <v>8-1040</v>
      </c>
      <c r="E27" s="1" t="str">
        <f>IF(COUNTIF(D:D, D27)&gt;1, Table12[[#This Row],[The Speed ]], "")</f>
        <v/>
      </c>
      <c r="F27" s="1" t="str">
        <f>IF(COUNTIF(D:D, D27)&gt;1, Table12[[#This Row],[Length (mm)]], "")</f>
        <v/>
      </c>
      <c r="G27" s="1">
        <f>IF(Table12[[#This Row],[Repeat y]]="",0,1)</f>
        <v>0</v>
      </c>
    </row>
    <row r="28" spans="1:7" x14ac:dyDescent="0.3">
      <c r="A28" s="1">
        <v>27</v>
      </c>
      <c r="B28" s="30">
        <v>5.5</v>
      </c>
      <c r="C28" s="1">
        <v>1013</v>
      </c>
      <c r="D28" s="1" t="str">
        <f>Table12[[#This Row],[The Speed ]]&amp;"-"&amp;Table12[[#This Row],[Length (mm)]]</f>
        <v>5.5-1013</v>
      </c>
      <c r="E28" s="1" t="str">
        <f>IF(COUNTIF(D:D, D28)&gt;1, Table12[[#This Row],[The Speed ]], "")</f>
        <v/>
      </c>
      <c r="F28" s="1" t="str">
        <f>IF(COUNTIF(D:D, D28)&gt;1, Table12[[#This Row],[Length (mm)]], "")</f>
        <v/>
      </c>
      <c r="G28" s="1">
        <f>IF(Table12[[#This Row],[Repeat y]]="",0,1)</f>
        <v>0</v>
      </c>
    </row>
    <row r="29" spans="1:7" x14ac:dyDescent="0.3">
      <c r="A29" s="1">
        <v>28</v>
      </c>
      <c r="B29" s="30">
        <v>6.9</v>
      </c>
      <c r="C29" s="1">
        <v>1025</v>
      </c>
      <c r="D29" s="1" t="str">
        <f>Table12[[#This Row],[The Speed ]]&amp;"-"&amp;Table12[[#This Row],[Length (mm)]]</f>
        <v>6.9-1025</v>
      </c>
      <c r="E29" s="1" t="str">
        <f>IF(COUNTIF(D:D, D29)&gt;1, Table12[[#This Row],[The Speed ]], "")</f>
        <v/>
      </c>
      <c r="F29" s="1" t="str">
        <f>IF(COUNTIF(D:D, D29)&gt;1, Table12[[#This Row],[Length (mm)]], "")</f>
        <v/>
      </c>
      <c r="G29" s="1">
        <f>IF(Table12[[#This Row],[Repeat y]]="",0,1)</f>
        <v>0</v>
      </c>
    </row>
    <row r="30" spans="1:7" x14ac:dyDescent="0.3">
      <c r="A30" s="1">
        <v>29</v>
      </c>
      <c r="B30" s="30">
        <v>7</v>
      </c>
      <c r="C30" s="1">
        <v>1020</v>
      </c>
      <c r="D30" s="1" t="str">
        <f>Table12[[#This Row],[The Speed ]]&amp;"-"&amp;Table12[[#This Row],[Length (mm)]]</f>
        <v>7-1020</v>
      </c>
      <c r="E30" s="1" t="str">
        <f>IF(COUNTIF(D:D, D30)&gt;1, Table12[[#This Row],[The Speed ]], "")</f>
        <v/>
      </c>
      <c r="F30" s="1" t="str">
        <f>IF(COUNTIF(D:D, D30)&gt;1, Table12[[#This Row],[Length (mm)]], "")</f>
        <v/>
      </c>
      <c r="G30" s="1">
        <f>IF(Table12[[#This Row],[Repeat y]]="",0,1)</f>
        <v>0</v>
      </c>
    </row>
    <row r="31" spans="1:7" x14ac:dyDescent="0.3">
      <c r="A31" s="1">
        <v>30</v>
      </c>
      <c r="B31" s="30">
        <v>7.5</v>
      </c>
      <c r="C31" s="1">
        <v>1022</v>
      </c>
      <c r="D31" s="1" t="str">
        <f>Table12[[#This Row],[The Speed ]]&amp;"-"&amp;Table12[[#This Row],[Length (mm)]]</f>
        <v>7.5-1022</v>
      </c>
      <c r="E31" s="1" t="str">
        <f>IF(COUNTIF(D:D, D31)&gt;1, Table12[[#This Row],[The Speed ]], "")</f>
        <v/>
      </c>
      <c r="F31" s="1" t="str">
        <f>IF(COUNTIF(D:D, D31)&gt;1, Table12[[#This Row],[Length (mm)]], "")</f>
        <v/>
      </c>
      <c r="G31" s="1">
        <f>IF(Table12[[#This Row],[Repeat y]]="",0,1)</f>
        <v>0</v>
      </c>
    </row>
    <row r="32" spans="1:7" x14ac:dyDescent="0.3">
      <c r="A32" s="1">
        <v>31</v>
      </c>
      <c r="B32" s="30">
        <v>6.7</v>
      </c>
      <c r="C32" s="1">
        <v>1020</v>
      </c>
      <c r="D32" s="1" t="str">
        <f>Table12[[#This Row],[The Speed ]]&amp;"-"&amp;Table12[[#This Row],[Length (mm)]]</f>
        <v>6.7-1020</v>
      </c>
      <c r="E32" s="1" t="str">
        <f>IF(COUNTIF(D:D, D32)&gt;1, Table12[[#This Row],[The Speed ]], "")</f>
        <v/>
      </c>
      <c r="F32" s="1" t="str">
        <f>IF(COUNTIF(D:D, D32)&gt;1, Table12[[#This Row],[Length (mm)]], "")</f>
        <v/>
      </c>
      <c r="G32" s="1">
        <f>IF(Table12[[#This Row],[Repeat y]]="",0,1)</f>
        <v>0</v>
      </c>
    </row>
    <row r="33" spans="1:7" x14ac:dyDescent="0.3">
      <c r="A33" s="1">
        <v>32</v>
      </c>
      <c r="B33" s="30">
        <v>8.1</v>
      </c>
      <c r="C33" s="1">
        <v>1035</v>
      </c>
      <c r="D33" s="1" t="str">
        <f>Table12[[#This Row],[The Speed ]]&amp;"-"&amp;Table12[[#This Row],[Length (mm)]]</f>
        <v>8.1-1035</v>
      </c>
      <c r="E33" s="1" t="str">
        <f>IF(COUNTIF(D:D, D33)&gt;1, Table12[[#This Row],[The Speed ]], "")</f>
        <v/>
      </c>
      <c r="F33" s="1" t="str">
        <f>IF(COUNTIF(D:D, D33)&gt;1, Table12[[#This Row],[Length (mm)]], "")</f>
        <v/>
      </c>
      <c r="G33" s="1">
        <f>IF(Table12[[#This Row],[Repeat y]]="",0,1)</f>
        <v>0</v>
      </c>
    </row>
    <row r="34" spans="1:7" x14ac:dyDescent="0.3">
      <c r="A34" s="1">
        <v>33</v>
      </c>
      <c r="B34" s="30">
        <v>9</v>
      </c>
      <c r="C34" s="1">
        <v>1052</v>
      </c>
      <c r="D34" s="1" t="str">
        <f>Table12[[#This Row],[The Speed ]]&amp;"-"&amp;Table12[[#This Row],[Length (mm)]]</f>
        <v>9-1052</v>
      </c>
      <c r="E34" s="1" t="str">
        <f>IF(COUNTIF(D:D, D34)&gt;1, Table12[[#This Row],[The Speed ]], "")</f>
        <v/>
      </c>
      <c r="F34" s="1" t="str">
        <f>IF(COUNTIF(D:D, D34)&gt;1, Table12[[#This Row],[Length (mm)]], "")</f>
        <v/>
      </c>
      <c r="G34" s="1">
        <f>IF(Table12[[#This Row],[Repeat y]]="",0,1)</f>
        <v>0</v>
      </c>
    </row>
    <row r="35" spans="1:7" x14ac:dyDescent="0.3">
      <c r="A35" s="1">
        <v>34</v>
      </c>
      <c r="B35" s="30">
        <v>7.1</v>
      </c>
      <c r="C35" s="1">
        <v>1021</v>
      </c>
      <c r="D35" s="1" t="str">
        <f>Table12[[#This Row],[The Speed ]]&amp;"-"&amp;Table12[[#This Row],[Length (mm)]]</f>
        <v>7.1-1021</v>
      </c>
      <c r="E35" s="1" t="str">
        <f>IF(COUNTIF(D:D, D35)&gt;1, Table12[[#This Row],[The Speed ]], "")</f>
        <v/>
      </c>
      <c r="F35" s="1" t="str">
        <f>IF(COUNTIF(D:D, D35)&gt;1, Table12[[#This Row],[Length (mm)]], "")</f>
        <v/>
      </c>
      <c r="G35" s="1">
        <f>IF(Table12[[#This Row],[Repeat y]]="",0,1)</f>
        <v>0</v>
      </c>
    </row>
    <row r="36" spans="1:7" x14ac:dyDescent="0.3">
      <c r="A36" s="1">
        <v>35</v>
      </c>
      <c r="B36" s="30">
        <v>7.6</v>
      </c>
      <c r="C36" s="1">
        <v>1024</v>
      </c>
      <c r="D36" s="1" t="str">
        <f>Table12[[#This Row],[The Speed ]]&amp;"-"&amp;Table12[[#This Row],[Length (mm)]]</f>
        <v>7.6-1024</v>
      </c>
      <c r="E36" s="1" t="str">
        <f>IF(COUNTIF(D:D, D36)&gt;1, Table12[[#This Row],[The Speed ]], "")</f>
        <v/>
      </c>
      <c r="F36" s="1" t="str">
        <f>IF(COUNTIF(D:D, D36)&gt;1, Table12[[#This Row],[Length (mm)]], "")</f>
        <v/>
      </c>
      <c r="G36" s="1">
        <f>IF(Table12[[#This Row],[Repeat y]]="",0,1)</f>
        <v>0</v>
      </c>
    </row>
    <row r="37" spans="1:7" x14ac:dyDescent="0.3">
      <c r="A37" s="1">
        <v>36</v>
      </c>
      <c r="B37" s="30">
        <v>8.5</v>
      </c>
      <c r="C37" s="1">
        <v>1029</v>
      </c>
      <c r="D37" s="1" t="str">
        <f>Table12[[#This Row],[The Speed ]]&amp;"-"&amp;Table12[[#This Row],[Length (mm)]]</f>
        <v>8.5-1029</v>
      </c>
      <c r="E37" s="1" t="str">
        <f>IF(COUNTIF(D:D, D37)&gt;1, Table12[[#This Row],[The Speed ]], "")</f>
        <v/>
      </c>
      <c r="F37" s="1" t="str">
        <f>IF(COUNTIF(D:D, D37)&gt;1, Table12[[#This Row],[Length (mm)]], "")</f>
        <v/>
      </c>
      <c r="G37" s="1">
        <f>IF(Table12[[#This Row],[Repeat y]]="",0,1)</f>
        <v>0</v>
      </c>
    </row>
    <row r="38" spans="1:7" x14ac:dyDescent="0.3">
      <c r="A38" s="1">
        <v>37</v>
      </c>
      <c r="B38" s="30">
        <v>7.5</v>
      </c>
      <c r="C38" s="1">
        <v>1015</v>
      </c>
      <c r="D38" s="1" t="str">
        <f>Table12[[#This Row],[The Speed ]]&amp;"-"&amp;Table12[[#This Row],[Length (mm)]]</f>
        <v>7.5-1015</v>
      </c>
      <c r="E38" s="1" t="str">
        <f>IF(COUNTIF(D:D, D38)&gt;1, Table12[[#This Row],[The Speed ]], "")</f>
        <v/>
      </c>
      <c r="F38" s="1" t="str">
        <f>IF(COUNTIF(D:D, D38)&gt;1, Table12[[#This Row],[Length (mm)]], "")</f>
        <v/>
      </c>
      <c r="G38" s="1">
        <f>IF(Table12[[#This Row],[Repeat y]]="",0,1)</f>
        <v>0</v>
      </c>
    </row>
    <row r="39" spans="1:7" x14ac:dyDescent="0.3">
      <c r="A39" s="1">
        <v>38</v>
      </c>
      <c r="B39" s="30">
        <v>8</v>
      </c>
      <c r="C39" s="1">
        <v>1030</v>
      </c>
      <c r="D39" s="1" t="str">
        <f>Table12[[#This Row],[The Speed ]]&amp;"-"&amp;Table12[[#This Row],[Length (mm)]]</f>
        <v>8-1030</v>
      </c>
      <c r="E39" s="1" t="str">
        <f>IF(COUNTIF(D:D, D39)&gt;1, Table12[[#This Row],[The Speed ]], "")</f>
        <v/>
      </c>
      <c r="F39" s="1" t="str">
        <f>IF(COUNTIF(D:D, D39)&gt;1, Table12[[#This Row],[Length (mm)]], "")</f>
        <v/>
      </c>
      <c r="G39" s="1">
        <f>IF(Table12[[#This Row],[Repeat y]]="",0,1)</f>
        <v>0</v>
      </c>
    </row>
    <row r="40" spans="1:7" x14ac:dyDescent="0.3">
      <c r="A40" s="1">
        <v>39</v>
      </c>
      <c r="B40" s="30">
        <v>5.2</v>
      </c>
      <c r="C40" s="1">
        <v>1010</v>
      </c>
      <c r="D40" s="1" t="str">
        <f>Table12[[#This Row],[The Speed ]]&amp;"-"&amp;Table12[[#This Row],[Length (mm)]]</f>
        <v>5.2-1010</v>
      </c>
      <c r="E40" s="1" t="str">
        <f>IF(COUNTIF(D:D, D40)&gt;1, Table12[[#This Row],[The Speed ]], "")</f>
        <v/>
      </c>
      <c r="F40" s="1" t="str">
        <f>IF(COUNTIF(D:D, D40)&gt;1, Table12[[#This Row],[Length (mm)]], "")</f>
        <v/>
      </c>
      <c r="G40" s="1">
        <f>IF(Table12[[#This Row],[Repeat y]]="",0,1)</f>
        <v>0</v>
      </c>
    </row>
    <row r="41" spans="1:7" x14ac:dyDescent="0.3">
      <c r="A41" s="1">
        <v>40</v>
      </c>
      <c r="B41" s="30">
        <v>6.5</v>
      </c>
      <c r="C41" s="1">
        <v>1025</v>
      </c>
      <c r="D41" s="1" t="str">
        <f>Table12[[#This Row],[The Speed ]]&amp;"-"&amp;Table12[[#This Row],[Length (mm)]]</f>
        <v>6.5-1025</v>
      </c>
      <c r="E41" s="1" t="str">
        <f>IF(COUNTIF(D:D, D41)&gt;1, Table12[[#This Row],[The Speed ]], "")</f>
        <v/>
      </c>
      <c r="F41" s="1" t="str">
        <f>IF(COUNTIF(D:D, D41)&gt;1, Table12[[#This Row],[Length (mm)]], "")</f>
        <v/>
      </c>
      <c r="G41" s="1">
        <f>IF(Table12[[#This Row],[Repeat y]]="",0,1)</f>
        <v>0</v>
      </c>
    </row>
    <row r="42" spans="1:7" x14ac:dyDescent="0.3">
      <c r="A42" s="1">
        <v>41</v>
      </c>
      <c r="B42" s="30">
        <v>8</v>
      </c>
      <c r="C42" s="1">
        <v>1031</v>
      </c>
      <c r="D42" s="1" t="str">
        <f>Table12[[#This Row],[The Speed ]]&amp;"-"&amp;Table12[[#This Row],[Length (mm)]]</f>
        <v>8-1031</v>
      </c>
      <c r="E42" s="1" t="str">
        <f>IF(COUNTIF(D:D, D42)&gt;1, Table12[[#This Row],[The Speed ]], "")</f>
        <v/>
      </c>
      <c r="F42" s="1" t="str">
        <f>IF(COUNTIF(D:D, D42)&gt;1, Table12[[#This Row],[Length (mm)]], "")</f>
        <v/>
      </c>
      <c r="G42" s="1">
        <f>IF(Table12[[#This Row],[Repeat y]]="",0,1)</f>
        <v>0</v>
      </c>
    </row>
    <row r="43" spans="1:7" x14ac:dyDescent="0.3">
      <c r="A43" s="1">
        <v>42</v>
      </c>
      <c r="B43" s="30">
        <v>6.9</v>
      </c>
      <c r="C43" s="1">
        <v>1030</v>
      </c>
      <c r="D43" s="1" t="str">
        <f>Table12[[#This Row],[The Speed ]]&amp;"-"&amp;Table12[[#This Row],[Length (mm)]]</f>
        <v>6.9-1030</v>
      </c>
      <c r="E43" s="1" t="str">
        <f>IF(COUNTIF(D:D, D43)&gt;1, Table12[[#This Row],[The Speed ]], "")</f>
        <v/>
      </c>
      <c r="F43" s="1" t="str">
        <f>IF(COUNTIF(D:D, D43)&gt;1, Table12[[#This Row],[Length (mm)]], "")</f>
        <v/>
      </c>
      <c r="G43" s="1">
        <f>IF(Table12[[#This Row],[Repeat y]]="",0,1)</f>
        <v>0</v>
      </c>
    </row>
    <row r="44" spans="1:7" x14ac:dyDescent="0.3">
      <c r="A44" s="1">
        <v>43</v>
      </c>
      <c r="B44" s="30">
        <v>7.6</v>
      </c>
      <c r="C44" s="1">
        <v>1034</v>
      </c>
      <c r="D44" s="1" t="str">
        <f>Table12[[#This Row],[The Speed ]]&amp;"-"&amp;Table12[[#This Row],[Length (mm)]]</f>
        <v>7.6-1034</v>
      </c>
      <c r="E44" s="1" t="str">
        <f>IF(COUNTIF(D:D, D44)&gt;1, Table12[[#This Row],[The Speed ]], "")</f>
        <v/>
      </c>
      <c r="F44" s="1" t="str">
        <f>IF(COUNTIF(D:D, D44)&gt;1, Table12[[#This Row],[Length (mm)]], "")</f>
        <v/>
      </c>
      <c r="G44" s="1">
        <f>IF(Table12[[#This Row],[Repeat y]]="",0,1)</f>
        <v>0</v>
      </c>
    </row>
    <row r="45" spans="1:7" x14ac:dyDescent="0.3">
      <c r="A45" s="1">
        <v>44</v>
      </c>
      <c r="B45" s="30">
        <v>6.5</v>
      </c>
      <c r="C45" s="1">
        <v>1034</v>
      </c>
      <c r="D45" s="1" t="str">
        <f>Table12[[#This Row],[The Speed ]]&amp;"-"&amp;Table12[[#This Row],[Length (mm)]]</f>
        <v>6.5-1034</v>
      </c>
      <c r="E45" s="1" t="str">
        <f>IF(COUNTIF(D:D, D45)&gt;1, Table12[[#This Row],[The Speed ]], "")</f>
        <v/>
      </c>
      <c r="F45" s="1" t="str">
        <f>IF(COUNTIF(D:D, D45)&gt;1, Table12[[#This Row],[Length (mm)]], "")</f>
        <v/>
      </c>
      <c r="G45" s="1">
        <f>IF(Table12[[#This Row],[Repeat y]]="",0,1)</f>
        <v>0</v>
      </c>
    </row>
    <row r="46" spans="1:7" x14ac:dyDescent="0.3">
      <c r="A46" s="1">
        <v>45</v>
      </c>
      <c r="B46" s="30">
        <v>5.5</v>
      </c>
      <c r="C46" s="1">
        <v>1020</v>
      </c>
      <c r="D46" s="1" t="str">
        <f>Table12[[#This Row],[The Speed ]]&amp;"-"&amp;Table12[[#This Row],[Length (mm)]]</f>
        <v>5.5-1020</v>
      </c>
      <c r="E46" s="1" t="str">
        <f>IF(COUNTIF(D:D, D46)&gt;1, Table12[[#This Row],[The Speed ]], "")</f>
        <v/>
      </c>
      <c r="F46" s="1" t="str">
        <f>IF(COUNTIF(D:D, D46)&gt;1, Table12[[#This Row],[Length (mm)]], "")</f>
        <v/>
      </c>
      <c r="G46" s="1">
        <f>IF(Table12[[#This Row],[Repeat y]]="",0,1)</f>
        <v>0</v>
      </c>
    </row>
    <row r="47" spans="1:7" x14ac:dyDescent="0.3">
      <c r="A47" s="1">
        <v>46</v>
      </c>
      <c r="B47" s="30">
        <v>6</v>
      </c>
      <c r="C47" s="1">
        <v>1025</v>
      </c>
      <c r="D47" s="1" t="str">
        <f>Table12[[#This Row],[The Speed ]]&amp;"-"&amp;Table12[[#This Row],[Length (mm)]]</f>
        <v>6-1025</v>
      </c>
      <c r="E47" s="1" t="str">
        <f>IF(COUNTIF(D:D, D47)&gt;1, Table12[[#This Row],[The Speed ]], "")</f>
        <v/>
      </c>
      <c r="F47" s="1" t="str">
        <f>IF(COUNTIF(D:D, D47)&gt;1, Table12[[#This Row],[Length (mm)]], "")</f>
        <v/>
      </c>
      <c r="G47" s="1">
        <f>IF(Table12[[#This Row],[Repeat y]]="",0,1)</f>
        <v>0</v>
      </c>
    </row>
    <row r="48" spans="1:7" x14ac:dyDescent="0.3">
      <c r="A48" s="1">
        <v>47</v>
      </c>
      <c r="B48" s="30">
        <v>5.5</v>
      </c>
      <c r="C48" s="1">
        <v>1023</v>
      </c>
      <c r="D48" s="1" t="str">
        <f>Table12[[#This Row],[The Speed ]]&amp;"-"&amp;Table12[[#This Row],[Length (mm)]]</f>
        <v>5.5-1023</v>
      </c>
      <c r="E48" s="1" t="str">
        <f>IF(COUNTIF(D:D, D48)&gt;1, Table12[[#This Row],[The Speed ]], "")</f>
        <v/>
      </c>
      <c r="F48" s="1" t="str">
        <f>IF(COUNTIF(D:D, D48)&gt;1, Table12[[#This Row],[Length (mm)]], "")</f>
        <v/>
      </c>
      <c r="G48" s="1">
        <f>IF(Table12[[#This Row],[Repeat y]]="",0,1)</f>
        <v>0</v>
      </c>
    </row>
    <row r="49" spans="1:7" x14ac:dyDescent="0.3">
      <c r="A49" s="1">
        <v>48</v>
      </c>
      <c r="B49" s="30">
        <v>7.6</v>
      </c>
      <c r="C49" s="1">
        <v>1028</v>
      </c>
      <c r="D49" s="1" t="str">
        <f>Table12[[#This Row],[The Speed ]]&amp;"-"&amp;Table12[[#This Row],[Length (mm)]]</f>
        <v>7.6-1028</v>
      </c>
      <c r="E49" s="1">
        <f>IF(COUNTIF(D:D, D49)&gt;1, Table12[[#This Row],[The Speed ]], "")</f>
        <v>7.6</v>
      </c>
      <c r="F49" s="1">
        <f>IF(COUNTIF(D:D, D49)&gt;1, Table12[[#This Row],[Length (mm)]], "")</f>
        <v>1028</v>
      </c>
      <c r="G49" s="1">
        <f>IF(Table12[[#This Row],[Repeat y]]="",0,1)</f>
        <v>1</v>
      </c>
    </row>
    <row r="50" spans="1:7" x14ac:dyDescent="0.3">
      <c r="A50" s="1">
        <v>49</v>
      </c>
      <c r="B50" s="30">
        <v>8.6</v>
      </c>
      <c r="C50" s="1">
        <v>1020</v>
      </c>
      <c r="D50" s="1" t="str">
        <f>Table12[[#This Row],[The Speed ]]&amp;"-"&amp;Table12[[#This Row],[Length (mm)]]</f>
        <v>8.6-1020</v>
      </c>
      <c r="E50" s="1" t="str">
        <f>IF(COUNTIF(D:D, D50)&gt;1, Table12[[#This Row],[The Speed ]], "")</f>
        <v/>
      </c>
      <c r="F50" s="1" t="str">
        <f>IF(COUNTIF(D:D, D50)&gt;1, Table12[[#This Row],[Length (mm)]], "")</f>
        <v/>
      </c>
      <c r="G50" s="1">
        <f>IF(Table12[[#This Row],[Repeat y]]="",0,1)</f>
        <v>0</v>
      </c>
    </row>
    <row r="51" spans="1:7" x14ac:dyDescent="0.3">
      <c r="A51" s="1">
        <v>50</v>
      </c>
      <c r="B51" s="30">
        <v>6.3</v>
      </c>
      <c r="C51" s="1">
        <v>1026</v>
      </c>
      <c r="D51" s="1" t="str">
        <f>Table12[[#This Row],[The Speed ]]&amp;"-"&amp;Table12[[#This Row],[Length (mm)]]</f>
        <v>6.3-1026</v>
      </c>
      <c r="E51" s="1" t="str">
        <f>IF(COUNTIF(D:D, D51)&gt;1, Table12[[#This Row],[The Speed ]], "")</f>
        <v/>
      </c>
      <c r="F51" s="1" t="str">
        <f>IF(COUNTIF(D:D, D51)&gt;1, Table12[[#This Row],[Length (mm)]], "")</f>
        <v/>
      </c>
      <c r="G51" s="1">
        <f>IF(Table12[[#This Row],[Repeat y]]="",0,1)</f>
        <v>0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52822-F415-4F86-B58E-65A121FDDF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A3</vt:lpstr>
      <vt:lpstr>1-Histogram</vt:lpstr>
      <vt:lpstr>2-Fishbone</vt:lpstr>
      <vt:lpstr>4-Pareto</vt:lpstr>
      <vt:lpstr>5-Graphs - A) Line Graph</vt:lpstr>
      <vt:lpstr>5-Graphs - B) Bar Graphs</vt:lpstr>
      <vt:lpstr>5-Graphs - C) Pie Graphs </vt:lpstr>
      <vt:lpstr>6-(A) SPC X-R</vt:lpstr>
      <vt:lpstr>6-(A) SPC X-S</vt:lpstr>
      <vt:lpstr>6-(B)SPC P</vt:lpstr>
      <vt:lpstr>6-(C)SPC pn</vt:lpstr>
      <vt:lpstr>6-(D)SPC u</vt:lpstr>
      <vt:lpstr>6-(D)SPC c </vt:lpstr>
      <vt:lpstr>7 - Scatter 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Radwan</dc:creator>
  <cp:keywords/>
  <dc:description/>
  <cp:lastModifiedBy>KAIZEN ACADEMY</cp:lastModifiedBy>
  <cp:revision/>
  <dcterms:created xsi:type="dcterms:W3CDTF">2023-09-16T16:08:22Z</dcterms:created>
  <dcterms:modified xsi:type="dcterms:W3CDTF">2025-11-03T23:32:39Z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8257be-fe68-4f95-8ca8-12d5b76b944d_Enabled">
    <vt:lpwstr>true</vt:lpwstr>
  </property>
  <property fmtid="{D5CDD505-2E9C-101B-9397-08002B2CF9AE}" pid="3" name="MSIP_Label_5e8257be-fe68-4f95-8ca8-12d5b76b944d_SetDate">
    <vt:lpwstr>2023-09-16T16:08:23Z</vt:lpwstr>
  </property>
  <property fmtid="{D5CDD505-2E9C-101B-9397-08002B2CF9AE}" pid="4" name="MSIP_Label_5e8257be-fe68-4f95-8ca8-12d5b76b944d_Method">
    <vt:lpwstr>Standard</vt:lpwstr>
  </property>
  <property fmtid="{D5CDD505-2E9C-101B-9397-08002B2CF9AE}" pid="5" name="MSIP_Label_5e8257be-fe68-4f95-8ca8-12d5b76b944d_Name">
    <vt:lpwstr>5e8257be-fe68-4f95-8ca8-12d5b76b944d</vt:lpwstr>
  </property>
  <property fmtid="{D5CDD505-2E9C-101B-9397-08002B2CF9AE}" pid="6" name="MSIP_Label_5e8257be-fe68-4f95-8ca8-12d5b76b944d_SiteId">
    <vt:lpwstr>2e32c063-a499-43c2-8bb9-77958c268433</vt:lpwstr>
  </property>
  <property fmtid="{D5CDD505-2E9C-101B-9397-08002B2CF9AE}" pid="7" name="MSIP_Label_5e8257be-fe68-4f95-8ca8-12d5b76b944d_ActionId">
    <vt:lpwstr>0f930614-bb7f-45c7-a436-2b5d928f1a8b</vt:lpwstr>
  </property>
  <property fmtid="{D5CDD505-2E9C-101B-9397-08002B2CF9AE}" pid="8" name="MSIP_Label_5e8257be-fe68-4f95-8ca8-12d5b76b944d_ContentBits">
    <vt:lpwstr>0</vt:lpwstr>
  </property>
</Properties>
</file>